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Ex1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Ex2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rvoje\Documents\vsite\MJ808\datasheets\mj838\"/>
    </mc:Choice>
  </mc:AlternateContent>
  <bookViews>
    <workbookView xWindow="-105" yWindow="-105" windowWidth="20370" windowHeight="12810" activeTab="1"/>
  </bookViews>
  <sheets>
    <sheet name="measurement data" sheetId="1" r:id="rId1"/>
    <sheet name="curves - data over n" sheetId="2" r:id="rId2"/>
  </sheets>
  <definedNames>
    <definedName name="_xlchart.v1.0" hidden="1">'measurement data'!$V$2</definedName>
    <definedName name="_xlchart.v1.1" hidden="1">'measurement data'!$V$54:$V$241</definedName>
    <definedName name="_xlchart.v1.2" hidden="1">'measurement data'!$W$4:$W$228</definedName>
    <definedName name="_xlchart.v1.3" hidden="1">'measurement data'!$V$2</definedName>
    <definedName name="_xlchart.v1.4" hidden="1">'measurement data'!$V$4:$V$241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 l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V4" i="1"/>
  <c r="V3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3" i="1"/>
  <c r="Q69" i="1"/>
  <c r="O170" i="1" l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P170" i="1"/>
  <c r="T170" i="1" s="1"/>
  <c r="P171" i="1"/>
  <c r="T171" i="1" s="1"/>
  <c r="P172" i="1"/>
  <c r="T172" i="1" s="1"/>
  <c r="P173" i="1"/>
  <c r="T173" i="1" s="1"/>
  <c r="P174" i="1"/>
  <c r="T174" i="1" s="1"/>
  <c r="P175" i="1"/>
  <c r="T175" i="1" s="1"/>
  <c r="P176" i="1"/>
  <c r="T176" i="1" s="1"/>
  <c r="P177" i="1"/>
  <c r="T177" i="1" s="1"/>
  <c r="P178" i="1"/>
  <c r="T178" i="1" s="1"/>
  <c r="P179" i="1"/>
  <c r="T179" i="1" s="1"/>
  <c r="P180" i="1"/>
  <c r="T180" i="1" s="1"/>
  <c r="P181" i="1"/>
  <c r="T181" i="1" s="1"/>
  <c r="P182" i="1"/>
  <c r="T182" i="1" s="1"/>
  <c r="P183" i="1"/>
  <c r="T183" i="1" s="1"/>
  <c r="P184" i="1"/>
  <c r="T184" i="1" s="1"/>
  <c r="P185" i="1"/>
  <c r="T185" i="1" s="1"/>
  <c r="P186" i="1"/>
  <c r="T186" i="1" s="1"/>
  <c r="P187" i="1"/>
  <c r="T187" i="1" s="1"/>
  <c r="P188" i="1"/>
  <c r="T188" i="1" s="1"/>
  <c r="P189" i="1"/>
  <c r="T189" i="1" s="1"/>
  <c r="N5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3" i="1"/>
  <c r="N4" i="1"/>
  <c r="N6" i="1"/>
  <c r="N7" i="1"/>
  <c r="N8" i="1"/>
  <c r="N9" i="1"/>
  <c r="S9" i="1" s="1"/>
  <c r="N10" i="1"/>
  <c r="N11" i="1"/>
  <c r="N12" i="1"/>
  <c r="N13" i="1"/>
  <c r="N14" i="1"/>
  <c r="N15" i="1"/>
  <c r="N16" i="1"/>
  <c r="S16" i="1" s="1"/>
  <c r="N17" i="1"/>
  <c r="S17" i="1" s="1"/>
  <c r="N18" i="1"/>
  <c r="N19" i="1"/>
  <c r="N20" i="1"/>
  <c r="N21" i="1"/>
  <c r="N22" i="1"/>
  <c r="N23" i="1"/>
  <c r="N24" i="1"/>
  <c r="S24" i="1" s="1"/>
  <c r="N25" i="1"/>
  <c r="S25" i="1" s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3" i="1"/>
  <c r="Q220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3" i="1"/>
  <c r="P130" i="1"/>
  <c r="T130" i="1" s="1"/>
  <c r="P3" i="1"/>
  <c r="T3" i="1" s="1"/>
  <c r="P4" i="1"/>
  <c r="T4" i="1" s="1"/>
  <c r="P5" i="1"/>
  <c r="T5" i="1" s="1"/>
  <c r="P6" i="1"/>
  <c r="T6" i="1" s="1"/>
  <c r="P7" i="1"/>
  <c r="T7" i="1" s="1"/>
  <c r="P8" i="1"/>
  <c r="T8" i="1" s="1"/>
  <c r="P9" i="1"/>
  <c r="T9" i="1" s="1"/>
  <c r="P10" i="1"/>
  <c r="T10" i="1" s="1"/>
  <c r="P11" i="1"/>
  <c r="T11" i="1" s="1"/>
  <c r="P12" i="1"/>
  <c r="T12" i="1" s="1"/>
  <c r="P13" i="1"/>
  <c r="T13" i="1" s="1"/>
  <c r="P14" i="1"/>
  <c r="T14" i="1" s="1"/>
  <c r="P15" i="1"/>
  <c r="T15" i="1" s="1"/>
  <c r="P16" i="1"/>
  <c r="T16" i="1" s="1"/>
  <c r="P17" i="1"/>
  <c r="T17" i="1" s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T29" i="1" s="1"/>
  <c r="P30" i="1"/>
  <c r="T30" i="1" s="1"/>
  <c r="P31" i="1"/>
  <c r="T31" i="1" s="1"/>
  <c r="P32" i="1"/>
  <c r="T32" i="1" s="1"/>
  <c r="P33" i="1"/>
  <c r="T33" i="1" s="1"/>
  <c r="P34" i="1"/>
  <c r="T34" i="1" s="1"/>
  <c r="P35" i="1"/>
  <c r="T35" i="1" s="1"/>
  <c r="P36" i="1"/>
  <c r="T36" i="1" s="1"/>
  <c r="P37" i="1"/>
  <c r="T37" i="1" s="1"/>
  <c r="P38" i="1"/>
  <c r="T38" i="1" s="1"/>
  <c r="P39" i="1"/>
  <c r="T39" i="1" s="1"/>
  <c r="P40" i="1"/>
  <c r="T40" i="1" s="1"/>
  <c r="P41" i="1"/>
  <c r="T41" i="1" s="1"/>
  <c r="P42" i="1"/>
  <c r="T42" i="1" s="1"/>
  <c r="P43" i="1"/>
  <c r="T43" i="1" s="1"/>
  <c r="P44" i="1"/>
  <c r="T44" i="1" s="1"/>
  <c r="P45" i="1"/>
  <c r="T45" i="1" s="1"/>
  <c r="P46" i="1"/>
  <c r="T46" i="1" s="1"/>
  <c r="P47" i="1"/>
  <c r="T47" i="1" s="1"/>
  <c r="P48" i="1"/>
  <c r="T48" i="1" s="1"/>
  <c r="P49" i="1"/>
  <c r="T49" i="1" s="1"/>
  <c r="P50" i="1"/>
  <c r="T50" i="1" s="1"/>
  <c r="P51" i="1"/>
  <c r="T51" i="1" s="1"/>
  <c r="P52" i="1"/>
  <c r="T52" i="1" s="1"/>
  <c r="P53" i="1"/>
  <c r="T53" i="1" s="1"/>
  <c r="P54" i="1"/>
  <c r="T54" i="1" s="1"/>
  <c r="P55" i="1"/>
  <c r="T55" i="1" s="1"/>
  <c r="P56" i="1"/>
  <c r="T56" i="1" s="1"/>
  <c r="P57" i="1"/>
  <c r="T57" i="1" s="1"/>
  <c r="P58" i="1"/>
  <c r="T58" i="1" s="1"/>
  <c r="P59" i="1"/>
  <c r="T59" i="1" s="1"/>
  <c r="P60" i="1"/>
  <c r="T60" i="1" s="1"/>
  <c r="P61" i="1"/>
  <c r="T61" i="1" s="1"/>
  <c r="P62" i="1"/>
  <c r="T62" i="1" s="1"/>
  <c r="P63" i="1"/>
  <c r="T63" i="1" s="1"/>
  <c r="P64" i="1"/>
  <c r="T64" i="1" s="1"/>
  <c r="P65" i="1"/>
  <c r="T65" i="1" s="1"/>
  <c r="P66" i="1"/>
  <c r="T66" i="1" s="1"/>
  <c r="P67" i="1"/>
  <c r="T67" i="1" s="1"/>
  <c r="P68" i="1"/>
  <c r="T68" i="1" s="1"/>
  <c r="P69" i="1"/>
  <c r="T69" i="1" s="1"/>
  <c r="P70" i="1"/>
  <c r="T70" i="1" s="1"/>
  <c r="P71" i="1"/>
  <c r="T71" i="1" s="1"/>
  <c r="P72" i="1"/>
  <c r="T72" i="1" s="1"/>
  <c r="P73" i="1"/>
  <c r="T73" i="1" s="1"/>
  <c r="P74" i="1"/>
  <c r="T74" i="1" s="1"/>
  <c r="P75" i="1"/>
  <c r="T75" i="1" s="1"/>
  <c r="P76" i="1"/>
  <c r="T76" i="1" s="1"/>
  <c r="P77" i="1"/>
  <c r="T77" i="1" s="1"/>
  <c r="P78" i="1"/>
  <c r="T78" i="1" s="1"/>
  <c r="P79" i="1"/>
  <c r="T79" i="1" s="1"/>
  <c r="P80" i="1"/>
  <c r="T80" i="1" s="1"/>
  <c r="P81" i="1"/>
  <c r="T81" i="1" s="1"/>
  <c r="P82" i="1"/>
  <c r="T82" i="1" s="1"/>
  <c r="P83" i="1"/>
  <c r="T83" i="1" s="1"/>
  <c r="P84" i="1"/>
  <c r="T84" i="1" s="1"/>
  <c r="P85" i="1"/>
  <c r="T85" i="1" s="1"/>
  <c r="P86" i="1"/>
  <c r="T86" i="1" s="1"/>
  <c r="P87" i="1"/>
  <c r="T87" i="1" s="1"/>
  <c r="P88" i="1"/>
  <c r="T88" i="1" s="1"/>
  <c r="P89" i="1"/>
  <c r="T89" i="1" s="1"/>
  <c r="P90" i="1"/>
  <c r="T90" i="1" s="1"/>
  <c r="P91" i="1"/>
  <c r="T91" i="1" s="1"/>
  <c r="P92" i="1"/>
  <c r="T92" i="1" s="1"/>
  <c r="P93" i="1"/>
  <c r="T93" i="1" s="1"/>
  <c r="P94" i="1"/>
  <c r="T94" i="1" s="1"/>
  <c r="P95" i="1"/>
  <c r="T95" i="1" s="1"/>
  <c r="P96" i="1"/>
  <c r="T96" i="1" s="1"/>
  <c r="P97" i="1"/>
  <c r="T97" i="1" s="1"/>
  <c r="P98" i="1"/>
  <c r="T98" i="1" s="1"/>
  <c r="P99" i="1"/>
  <c r="T99" i="1" s="1"/>
  <c r="P100" i="1"/>
  <c r="T100" i="1" s="1"/>
  <c r="P101" i="1"/>
  <c r="T101" i="1" s="1"/>
  <c r="P102" i="1"/>
  <c r="T102" i="1" s="1"/>
  <c r="P103" i="1"/>
  <c r="T103" i="1" s="1"/>
  <c r="P104" i="1"/>
  <c r="T104" i="1" s="1"/>
  <c r="P105" i="1"/>
  <c r="T105" i="1" s="1"/>
  <c r="P106" i="1"/>
  <c r="T106" i="1" s="1"/>
  <c r="P107" i="1"/>
  <c r="T107" i="1" s="1"/>
  <c r="P108" i="1"/>
  <c r="T108" i="1" s="1"/>
  <c r="P109" i="1"/>
  <c r="T109" i="1" s="1"/>
  <c r="P110" i="1"/>
  <c r="T110" i="1" s="1"/>
  <c r="P111" i="1"/>
  <c r="T111" i="1" s="1"/>
  <c r="P112" i="1"/>
  <c r="T112" i="1" s="1"/>
  <c r="P113" i="1"/>
  <c r="T113" i="1" s="1"/>
  <c r="P114" i="1"/>
  <c r="T114" i="1" s="1"/>
  <c r="P115" i="1"/>
  <c r="T115" i="1" s="1"/>
  <c r="P116" i="1"/>
  <c r="T116" i="1" s="1"/>
  <c r="P117" i="1"/>
  <c r="T117" i="1" s="1"/>
  <c r="P118" i="1"/>
  <c r="T118" i="1" s="1"/>
  <c r="P119" i="1"/>
  <c r="T119" i="1" s="1"/>
  <c r="P120" i="1"/>
  <c r="T120" i="1" s="1"/>
  <c r="P121" i="1"/>
  <c r="T121" i="1" s="1"/>
  <c r="P122" i="1"/>
  <c r="T122" i="1" s="1"/>
  <c r="P123" i="1"/>
  <c r="T123" i="1" s="1"/>
  <c r="P124" i="1"/>
  <c r="T124" i="1" s="1"/>
  <c r="P125" i="1"/>
  <c r="T125" i="1" s="1"/>
  <c r="P126" i="1"/>
  <c r="T126" i="1" s="1"/>
  <c r="P127" i="1"/>
  <c r="T127" i="1" s="1"/>
  <c r="P128" i="1"/>
  <c r="T128" i="1" s="1"/>
  <c r="P129" i="1"/>
  <c r="T129" i="1" s="1"/>
  <c r="P131" i="1"/>
  <c r="T131" i="1" s="1"/>
  <c r="P132" i="1"/>
  <c r="T132" i="1" s="1"/>
  <c r="P133" i="1"/>
  <c r="T133" i="1" s="1"/>
  <c r="P134" i="1"/>
  <c r="T134" i="1" s="1"/>
  <c r="P135" i="1"/>
  <c r="T135" i="1" s="1"/>
  <c r="P136" i="1"/>
  <c r="T136" i="1" s="1"/>
  <c r="P137" i="1"/>
  <c r="T137" i="1" s="1"/>
  <c r="P138" i="1"/>
  <c r="T138" i="1" s="1"/>
  <c r="P139" i="1"/>
  <c r="T139" i="1" s="1"/>
  <c r="P140" i="1"/>
  <c r="T140" i="1" s="1"/>
  <c r="P141" i="1"/>
  <c r="T141" i="1" s="1"/>
  <c r="P142" i="1"/>
  <c r="T142" i="1" s="1"/>
  <c r="P143" i="1"/>
  <c r="T143" i="1" s="1"/>
  <c r="P144" i="1"/>
  <c r="T144" i="1" s="1"/>
  <c r="P145" i="1"/>
  <c r="T145" i="1" s="1"/>
  <c r="P146" i="1"/>
  <c r="T146" i="1" s="1"/>
  <c r="P147" i="1"/>
  <c r="T147" i="1" s="1"/>
  <c r="P148" i="1"/>
  <c r="T148" i="1" s="1"/>
  <c r="P149" i="1"/>
  <c r="T149" i="1" s="1"/>
  <c r="P150" i="1"/>
  <c r="T150" i="1" s="1"/>
  <c r="P151" i="1"/>
  <c r="T151" i="1" s="1"/>
  <c r="P152" i="1"/>
  <c r="T152" i="1" s="1"/>
  <c r="P153" i="1"/>
  <c r="T153" i="1" s="1"/>
  <c r="P154" i="1"/>
  <c r="T154" i="1" s="1"/>
  <c r="P155" i="1"/>
  <c r="T155" i="1" s="1"/>
  <c r="P156" i="1"/>
  <c r="T156" i="1" s="1"/>
  <c r="P157" i="1"/>
  <c r="T157" i="1" s="1"/>
  <c r="P158" i="1"/>
  <c r="T158" i="1" s="1"/>
  <c r="P159" i="1"/>
  <c r="T159" i="1" s="1"/>
  <c r="P160" i="1"/>
  <c r="T160" i="1" s="1"/>
  <c r="P161" i="1"/>
  <c r="T161" i="1" s="1"/>
  <c r="P162" i="1"/>
  <c r="T162" i="1" s="1"/>
  <c r="P163" i="1"/>
  <c r="T163" i="1" s="1"/>
  <c r="P164" i="1"/>
  <c r="T164" i="1" s="1"/>
  <c r="P165" i="1"/>
  <c r="T165" i="1" s="1"/>
  <c r="P166" i="1"/>
  <c r="T166" i="1" s="1"/>
  <c r="P167" i="1"/>
  <c r="T167" i="1" s="1"/>
  <c r="P168" i="1"/>
  <c r="T168" i="1" s="1"/>
  <c r="P169" i="1"/>
  <c r="T169" i="1" s="1"/>
  <c r="P190" i="1"/>
  <c r="T190" i="1" s="1"/>
  <c r="P191" i="1"/>
  <c r="T191" i="1" s="1"/>
  <c r="P192" i="1"/>
  <c r="T192" i="1" s="1"/>
  <c r="P193" i="1"/>
  <c r="T193" i="1" s="1"/>
  <c r="P194" i="1"/>
  <c r="T194" i="1" s="1"/>
  <c r="P195" i="1"/>
  <c r="T195" i="1" s="1"/>
  <c r="P196" i="1"/>
  <c r="T196" i="1" s="1"/>
  <c r="P197" i="1"/>
  <c r="T197" i="1" s="1"/>
  <c r="P198" i="1"/>
  <c r="T198" i="1" s="1"/>
  <c r="P199" i="1"/>
  <c r="T199" i="1" s="1"/>
  <c r="P200" i="1"/>
  <c r="T200" i="1" s="1"/>
  <c r="P201" i="1"/>
  <c r="T201" i="1" s="1"/>
  <c r="P202" i="1"/>
  <c r="T202" i="1" s="1"/>
  <c r="P203" i="1"/>
  <c r="T203" i="1" s="1"/>
  <c r="P204" i="1"/>
  <c r="T204" i="1" s="1"/>
  <c r="P205" i="1"/>
  <c r="T205" i="1" s="1"/>
  <c r="P206" i="1"/>
  <c r="T206" i="1" s="1"/>
  <c r="P207" i="1"/>
  <c r="T207" i="1" s="1"/>
  <c r="P208" i="1"/>
  <c r="T208" i="1" s="1"/>
  <c r="P209" i="1"/>
  <c r="T209" i="1" s="1"/>
  <c r="P210" i="1"/>
  <c r="T210" i="1" s="1"/>
  <c r="P211" i="1"/>
  <c r="T211" i="1" s="1"/>
  <c r="P212" i="1"/>
  <c r="T212" i="1" s="1"/>
  <c r="P213" i="1"/>
  <c r="T213" i="1" s="1"/>
  <c r="P214" i="1"/>
  <c r="T214" i="1" s="1"/>
  <c r="P215" i="1"/>
  <c r="T215" i="1" s="1"/>
  <c r="P216" i="1"/>
  <c r="T216" i="1" s="1"/>
  <c r="P217" i="1"/>
  <c r="T217" i="1" s="1"/>
  <c r="P218" i="1"/>
  <c r="T218" i="1" s="1"/>
  <c r="P219" i="1"/>
  <c r="T219" i="1" s="1"/>
  <c r="P220" i="1"/>
  <c r="T220" i="1" s="1"/>
  <c r="P221" i="1"/>
  <c r="T221" i="1" s="1"/>
  <c r="P222" i="1"/>
  <c r="T222" i="1" s="1"/>
  <c r="P223" i="1"/>
  <c r="T223" i="1" s="1"/>
  <c r="P224" i="1"/>
  <c r="T224" i="1" s="1"/>
  <c r="P225" i="1"/>
  <c r="T225" i="1" s="1"/>
  <c r="P226" i="1"/>
  <c r="T226" i="1" s="1"/>
  <c r="P227" i="1"/>
  <c r="T227" i="1" s="1"/>
  <c r="P228" i="1"/>
  <c r="T228" i="1" s="1"/>
  <c r="P229" i="1"/>
  <c r="T229" i="1" s="1"/>
  <c r="P230" i="1"/>
  <c r="T230" i="1" s="1"/>
  <c r="P231" i="1"/>
  <c r="T231" i="1" s="1"/>
  <c r="P232" i="1"/>
  <c r="T232" i="1" s="1"/>
  <c r="P233" i="1"/>
  <c r="T233" i="1" s="1"/>
  <c r="P234" i="1"/>
  <c r="T234" i="1" s="1"/>
  <c r="P235" i="1"/>
  <c r="T235" i="1" s="1"/>
  <c r="P236" i="1"/>
  <c r="T236" i="1" s="1"/>
  <c r="P237" i="1"/>
  <c r="T237" i="1" s="1"/>
  <c r="P238" i="1"/>
  <c r="T238" i="1" s="1"/>
  <c r="P239" i="1"/>
  <c r="T239" i="1" s="1"/>
  <c r="P240" i="1"/>
  <c r="T240" i="1" s="1"/>
  <c r="P241" i="1"/>
  <c r="T241" i="1" s="1"/>
  <c r="S3" i="1" l="1"/>
  <c r="S8" i="1"/>
  <c r="S206" i="1"/>
  <c r="S236" i="1"/>
  <c r="S228" i="1"/>
  <c r="S213" i="1"/>
  <c r="S183" i="1"/>
  <c r="S198" i="1"/>
  <c r="S190" i="1"/>
  <c r="S187" i="1"/>
  <c r="S186" i="1"/>
  <c r="S179" i="1"/>
  <c r="S175" i="1"/>
  <c r="S162" i="1"/>
  <c r="S154" i="1"/>
  <c r="S146" i="1"/>
  <c r="S171" i="1"/>
  <c r="S178" i="1"/>
  <c r="S184" i="1"/>
  <c r="S176" i="1"/>
  <c r="S163" i="1"/>
  <c r="S155" i="1"/>
  <c r="S147" i="1"/>
  <c r="S67" i="1"/>
  <c r="S182" i="1"/>
  <c r="S174" i="1"/>
  <c r="S189" i="1"/>
  <c r="S181" i="1"/>
  <c r="S173" i="1"/>
  <c r="S188" i="1"/>
  <c r="S180" i="1"/>
  <c r="S172" i="1"/>
  <c r="S170" i="1"/>
  <c r="S185" i="1"/>
  <c r="S177" i="1"/>
  <c r="S139" i="1"/>
  <c r="S138" i="1"/>
  <c r="S131" i="1"/>
  <c r="S130" i="1"/>
  <c r="S123" i="1"/>
  <c r="S122" i="1"/>
  <c r="S115" i="1"/>
  <c r="S114" i="1"/>
  <c r="S107" i="1"/>
  <c r="S106" i="1"/>
  <c r="S99" i="1"/>
  <c r="S98" i="1"/>
  <c r="S91" i="1"/>
  <c r="S90" i="1"/>
  <c r="S83" i="1"/>
  <c r="S82" i="1"/>
  <c r="S75" i="1"/>
  <c r="S74" i="1"/>
  <c r="S66" i="1"/>
  <c r="S59" i="1"/>
  <c r="S58" i="1"/>
  <c r="S51" i="1"/>
  <c r="S50" i="1"/>
  <c r="S27" i="1"/>
  <c r="S43" i="1"/>
  <c r="S42" i="1"/>
  <c r="S35" i="1"/>
  <c r="S34" i="1"/>
  <c r="S169" i="1"/>
  <c r="S161" i="1"/>
  <c r="S153" i="1"/>
  <c r="S145" i="1"/>
  <c r="S137" i="1"/>
  <c r="S129" i="1"/>
  <c r="S121" i="1"/>
  <c r="S113" i="1"/>
  <c r="S105" i="1"/>
  <c r="S97" i="1"/>
  <c r="S89" i="1"/>
  <c r="S81" i="1"/>
  <c r="S73" i="1"/>
  <c r="S65" i="1"/>
  <c r="S57" i="1"/>
  <c r="S49" i="1"/>
  <c r="S41" i="1"/>
  <c r="S33" i="1"/>
  <c r="S234" i="1"/>
  <c r="S226" i="1"/>
  <c r="S219" i="1"/>
  <c r="S211" i="1"/>
  <c r="S204" i="1"/>
  <c r="S196" i="1"/>
  <c r="S238" i="1"/>
  <c r="S230" i="1"/>
  <c r="S222" i="1"/>
  <c r="S215" i="1"/>
  <c r="S208" i="1"/>
  <c r="S235" i="1"/>
  <c r="S227" i="1"/>
  <c r="S220" i="1"/>
  <c r="S212" i="1"/>
  <c r="S205" i="1"/>
  <c r="S197" i="1"/>
  <c r="S19" i="1"/>
  <c r="S11" i="1"/>
  <c r="S167" i="1"/>
  <c r="S159" i="1"/>
  <c r="S151" i="1"/>
  <c r="S143" i="1"/>
  <c r="S135" i="1"/>
  <c r="S127" i="1"/>
  <c r="S119" i="1"/>
  <c r="S111" i="1"/>
  <c r="S103" i="1"/>
  <c r="S95" i="1"/>
  <c r="S87" i="1"/>
  <c r="S79" i="1"/>
  <c r="S71" i="1"/>
  <c r="S63" i="1"/>
  <c r="S55" i="1"/>
  <c r="S47" i="1"/>
  <c r="S39" i="1"/>
  <c r="S31" i="1"/>
  <c r="S23" i="1"/>
  <c r="S15" i="1"/>
  <c r="S26" i="1"/>
  <c r="S18" i="1"/>
  <c r="S10" i="1"/>
  <c r="S240" i="1"/>
  <c r="S232" i="1"/>
  <c r="S224" i="1"/>
  <c r="S217" i="1"/>
  <c r="S202" i="1"/>
  <c r="S194" i="1"/>
  <c r="S241" i="1"/>
  <c r="S233" i="1"/>
  <c r="S225" i="1"/>
  <c r="S218" i="1"/>
  <c r="S210" i="1"/>
  <c r="S203" i="1"/>
  <c r="S195" i="1"/>
  <c r="S168" i="1"/>
  <c r="S160" i="1"/>
  <c r="S152" i="1"/>
  <c r="S144" i="1"/>
  <c r="S136" i="1"/>
  <c r="S128" i="1"/>
  <c r="S120" i="1"/>
  <c r="S112" i="1"/>
  <c r="S104" i="1"/>
  <c r="S96" i="1"/>
  <c r="S88" i="1"/>
  <c r="S80" i="1"/>
  <c r="S72" i="1"/>
  <c r="S64" i="1"/>
  <c r="S56" i="1"/>
  <c r="S48" i="1"/>
  <c r="S40" i="1"/>
  <c r="S32" i="1"/>
  <c r="S239" i="1"/>
  <c r="S231" i="1"/>
  <c r="S223" i="1"/>
  <c r="S216" i="1"/>
  <c r="S209" i="1"/>
  <c r="S201" i="1"/>
  <c r="S193" i="1"/>
  <c r="S166" i="1"/>
  <c r="S158" i="1"/>
  <c r="S150" i="1"/>
  <c r="S142" i="1"/>
  <c r="S134" i="1"/>
  <c r="S126" i="1"/>
  <c r="S118" i="1"/>
  <c r="S110" i="1"/>
  <c r="S102" i="1"/>
  <c r="S94" i="1"/>
  <c r="S86" i="1"/>
  <c r="S78" i="1"/>
  <c r="S70" i="1"/>
  <c r="S62" i="1"/>
  <c r="S54" i="1"/>
  <c r="S46" i="1"/>
  <c r="S38" i="1"/>
  <c r="S30" i="1"/>
  <c r="S200" i="1"/>
  <c r="S192" i="1"/>
  <c r="S165" i="1"/>
  <c r="S157" i="1"/>
  <c r="S149" i="1"/>
  <c r="S141" i="1"/>
  <c r="S133" i="1"/>
  <c r="S125" i="1"/>
  <c r="S117" i="1"/>
  <c r="S109" i="1"/>
  <c r="S101" i="1"/>
  <c r="S93" i="1"/>
  <c r="S85" i="1"/>
  <c r="S77" i="1"/>
  <c r="S69" i="1"/>
  <c r="S61" i="1"/>
  <c r="S53" i="1"/>
  <c r="S45" i="1"/>
  <c r="S37" i="1"/>
  <c r="S29" i="1"/>
  <c r="S21" i="1"/>
  <c r="S13" i="1"/>
  <c r="S7" i="1"/>
  <c r="S237" i="1"/>
  <c r="S229" i="1"/>
  <c r="S221" i="1"/>
  <c r="S214" i="1"/>
  <c r="S207" i="1"/>
  <c r="S199" i="1"/>
  <c r="S191" i="1"/>
  <c r="S164" i="1"/>
  <c r="S156" i="1"/>
  <c r="S148" i="1"/>
  <c r="S140" i="1"/>
  <c r="S132" i="1"/>
  <c r="S124" i="1"/>
  <c r="S116" i="1"/>
  <c r="S108" i="1"/>
  <c r="S100" i="1"/>
  <c r="S92" i="1"/>
  <c r="S84" i="1"/>
  <c r="S76" i="1"/>
  <c r="S68" i="1"/>
  <c r="S60" i="1"/>
  <c r="S52" i="1"/>
  <c r="S44" i="1"/>
  <c r="S36" i="1"/>
  <c r="S28" i="1"/>
  <c r="S20" i="1"/>
  <c r="S12" i="1"/>
  <c r="S22" i="1"/>
  <c r="S14" i="1"/>
  <c r="S6" i="1"/>
  <c r="S4" i="1"/>
  <c r="S5" i="1"/>
</calcChain>
</file>

<file path=xl/sharedStrings.xml><?xml version="1.0" encoding="utf-8"?>
<sst xmlns="http://schemas.openxmlformats.org/spreadsheetml/2006/main" count="28" uniqueCount="28">
  <si>
    <t>n</t>
  </si>
  <si>
    <t>voltcraft</t>
  </si>
  <si>
    <t>fluke</t>
  </si>
  <si>
    <t>hioki</t>
  </si>
  <si>
    <t>DAC out
mV</t>
  </si>
  <si>
    <t>Vsense
mV</t>
  </si>
  <si>
    <t>Vgate
mV</t>
  </si>
  <si>
    <t>U supply
mV</t>
  </si>
  <si>
    <t>I supply
mA</t>
  </si>
  <si>
    <t>P supply
mW</t>
  </si>
  <si>
    <t>I bus
(INA219)
mA</t>
  </si>
  <si>
    <t>U bus
(INA219)
mV</t>
  </si>
  <si>
    <t>P bus
(INA219)
mW</t>
  </si>
  <si>
    <t>V shunt
(INA219)</t>
  </si>
  <si>
    <t>ΔU
(supply - ina)
mV</t>
  </si>
  <si>
    <t>ΔI
(supply - ina)
mA</t>
  </si>
  <si>
    <t>ΔP
(supply - ina)
mW</t>
  </si>
  <si>
    <t>R bus
(INA219)
Ohm</t>
  </si>
  <si>
    <t>R supply
Ohm</t>
  </si>
  <si>
    <t>ΔR
(supply - ina)
Ohm</t>
  </si>
  <si>
    <t>Vsense
amp out
mV</t>
  </si>
  <si>
    <t>uni-t</t>
  </si>
  <si>
    <t>R - ΔU/I bus
Ohm</t>
  </si>
  <si>
    <t>ideal DAC
mV</t>
  </si>
  <si>
    <t>Vsense gain</t>
  </si>
  <si>
    <t>Vsense jitter</t>
  </si>
  <si>
    <t>Vgate jitter</t>
  </si>
  <si>
    <t>DP832 supply: set at 6000mV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</si>
</sst>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1" fillId="0" borderId="0" xfId="0" applyFont="1" applyAlignment="1">
      <alignment wrapText="1"/>
    </xf>
    <xf numFmtId="0" fontId="1" fillId="0" borderId="1" xfId="0" applyFont="1" applyBorder="1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DAC out/mV over n</a:t>
            </a:r>
          </a:p>
        </c:rich>
      </c:tx>
      <c:layout>
        <c:manualLayout>
          <c:xMode val="edge"/>
          <c:yMode val="edge"/>
          <c:x val="9.7979002624671893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'measurement data'!$C$2</c:f>
              <c:strCache>
                <c:ptCount val="1"/>
                <c:pt idx="0">
                  <c:v>DAC out
mV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'measurement data'!$A$3:$A$241</c:f>
              <c:numCache>
                <c:formatCode>General</c:formatCode>
                <c:ptCount val="2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130</c:v>
                </c:pt>
                <c:pt idx="122">
                  <c:v>140</c:v>
                </c:pt>
                <c:pt idx="123">
                  <c:v>150</c:v>
                </c:pt>
                <c:pt idx="124">
                  <c:v>160</c:v>
                </c:pt>
                <c:pt idx="125">
                  <c:v>170</c:v>
                </c:pt>
                <c:pt idx="126">
                  <c:v>180</c:v>
                </c:pt>
                <c:pt idx="127">
                  <c:v>190</c:v>
                </c:pt>
                <c:pt idx="128">
                  <c:v>200</c:v>
                </c:pt>
                <c:pt idx="129">
                  <c:v>210</c:v>
                </c:pt>
                <c:pt idx="130">
                  <c:v>220</c:v>
                </c:pt>
                <c:pt idx="131">
                  <c:v>230</c:v>
                </c:pt>
                <c:pt idx="132">
                  <c:v>240</c:v>
                </c:pt>
                <c:pt idx="133">
                  <c:v>250</c:v>
                </c:pt>
                <c:pt idx="134">
                  <c:v>260</c:v>
                </c:pt>
                <c:pt idx="135">
                  <c:v>270</c:v>
                </c:pt>
                <c:pt idx="136">
                  <c:v>280</c:v>
                </c:pt>
                <c:pt idx="137">
                  <c:v>290</c:v>
                </c:pt>
                <c:pt idx="138">
                  <c:v>300</c:v>
                </c:pt>
                <c:pt idx="139">
                  <c:v>310</c:v>
                </c:pt>
                <c:pt idx="140">
                  <c:v>320</c:v>
                </c:pt>
                <c:pt idx="141">
                  <c:v>330</c:v>
                </c:pt>
                <c:pt idx="142">
                  <c:v>340</c:v>
                </c:pt>
                <c:pt idx="143">
                  <c:v>350</c:v>
                </c:pt>
                <c:pt idx="144">
                  <c:v>360</c:v>
                </c:pt>
                <c:pt idx="145">
                  <c:v>370</c:v>
                </c:pt>
                <c:pt idx="146">
                  <c:v>380</c:v>
                </c:pt>
                <c:pt idx="147">
                  <c:v>390</c:v>
                </c:pt>
                <c:pt idx="148">
                  <c:v>400</c:v>
                </c:pt>
                <c:pt idx="149">
                  <c:v>410</c:v>
                </c:pt>
                <c:pt idx="150">
                  <c:v>420</c:v>
                </c:pt>
                <c:pt idx="151">
                  <c:v>430</c:v>
                </c:pt>
                <c:pt idx="152">
                  <c:v>440</c:v>
                </c:pt>
                <c:pt idx="153">
                  <c:v>450</c:v>
                </c:pt>
                <c:pt idx="154">
                  <c:v>460</c:v>
                </c:pt>
                <c:pt idx="155">
                  <c:v>470</c:v>
                </c:pt>
                <c:pt idx="156">
                  <c:v>480</c:v>
                </c:pt>
                <c:pt idx="157">
                  <c:v>490</c:v>
                </c:pt>
                <c:pt idx="158">
                  <c:v>500</c:v>
                </c:pt>
                <c:pt idx="159">
                  <c:v>510</c:v>
                </c:pt>
                <c:pt idx="160">
                  <c:v>520</c:v>
                </c:pt>
                <c:pt idx="161">
                  <c:v>530</c:v>
                </c:pt>
                <c:pt idx="162">
                  <c:v>540</c:v>
                </c:pt>
                <c:pt idx="163">
                  <c:v>550</c:v>
                </c:pt>
                <c:pt idx="164">
                  <c:v>560</c:v>
                </c:pt>
                <c:pt idx="165">
                  <c:v>570</c:v>
                </c:pt>
                <c:pt idx="166">
                  <c:v>580</c:v>
                </c:pt>
                <c:pt idx="167">
                  <c:v>581</c:v>
                </c:pt>
                <c:pt idx="168">
                  <c:v>582</c:v>
                </c:pt>
                <c:pt idx="169">
                  <c:v>583</c:v>
                </c:pt>
                <c:pt idx="170">
                  <c:v>584</c:v>
                </c:pt>
                <c:pt idx="171">
                  <c:v>585</c:v>
                </c:pt>
                <c:pt idx="172">
                  <c:v>586</c:v>
                </c:pt>
                <c:pt idx="173">
                  <c:v>587</c:v>
                </c:pt>
                <c:pt idx="174">
                  <c:v>588</c:v>
                </c:pt>
                <c:pt idx="175">
                  <c:v>589</c:v>
                </c:pt>
                <c:pt idx="176">
                  <c:v>590</c:v>
                </c:pt>
                <c:pt idx="177">
                  <c:v>590</c:v>
                </c:pt>
                <c:pt idx="178">
                  <c:v>591</c:v>
                </c:pt>
                <c:pt idx="179">
                  <c:v>592</c:v>
                </c:pt>
                <c:pt idx="180">
                  <c:v>593</c:v>
                </c:pt>
                <c:pt idx="181">
                  <c:v>594</c:v>
                </c:pt>
                <c:pt idx="182">
                  <c:v>595</c:v>
                </c:pt>
                <c:pt idx="183">
                  <c:v>596</c:v>
                </c:pt>
                <c:pt idx="184">
                  <c:v>597</c:v>
                </c:pt>
                <c:pt idx="185">
                  <c:v>598</c:v>
                </c:pt>
                <c:pt idx="186">
                  <c:v>599</c:v>
                </c:pt>
                <c:pt idx="187">
                  <c:v>600</c:v>
                </c:pt>
                <c:pt idx="188">
                  <c:v>601</c:v>
                </c:pt>
                <c:pt idx="189">
                  <c:v>602</c:v>
                </c:pt>
                <c:pt idx="190">
                  <c:v>603</c:v>
                </c:pt>
                <c:pt idx="191">
                  <c:v>604</c:v>
                </c:pt>
                <c:pt idx="192">
                  <c:v>605</c:v>
                </c:pt>
                <c:pt idx="193">
                  <c:v>606</c:v>
                </c:pt>
                <c:pt idx="194">
                  <c:v>607</c:v>
                </c:pt>
                <c:pt idx="195">
                  <c:v>608</c:v>
                </c:pt>
                <c:pt idx="196">
                  <c:v>609</c:v>
                </c:pt>
                <c:pt idx="197">
                  <c:v>610</c:v>
                </c:pt>
                <c:pt idx="198">
                  <c:v>611</c:v>
                </c:pt>
                <c:pt idx="199">
                  <c:v>612</c:v>
                </c:pt>
                <c:pt idx="200">
                  <c:v>613</c:v>
                </c:pt>
                <c:pt idx="201">
                  <c:v>614</c:v>
                </c:pt>
                <c:pt idx="202">
                  <c:v>615</c:v>
                </c:pt>
                <c:pt idx="203">
                  <c:v>616</c:v>
                </c:pt>
                <c:pt idx="204">
                  <c:v>617</c:v>
                </c:pt>
                <c:pt idx="205">
                  <c:v>618</c:v>
                </c:pt>
                <c:pt idx="206">
                  <c:v>619</c:v>
                </c:pt>
                <c:pt idx="207">
                  <c:v>620</c:v>
                </c:pt>
                <c:pt idx="208">
                  <c:v>621</c:v>
                </c:pt>
                <c:pt idx="209">
                  <c:v>622</c:v>
                </c:pt>
                <c:pt idx="210">
                  <c:v>623</c:v>
                </c:pt>
                <c:pt idx="211">
                  <c:v>624</c:v>
                </c:pt>
                <c:pt idx="212">
                  <c:v>625</c:v>
                </c:pt>
                <c:pt idx="213">
                  <c:v>626</c:v>
                </c:pt>
                <c:pt idx="214">
                  <c:v>627</c:v>
                </c:pt>
                <c:pt idx="215">
                  <c:v>628</c:v>
                </c:pt>
                <c:pt idx="216">
                  <c:v>629</c:v>
                </c:pt>
                <c:pt idx="217">
                  <c:v>630</c:v>
                </c:pt>
                <c:pt idx="218">
                  <c:v>631</c:v>
                </c:pt>
                <c:pt idx="219">
                  <c:v>632</c:v>
                </c:pt>
                <c:pt idx="220">
                  <c:v>633</c:v>
                </c:pt>
                <c:pt idx="221">
                  <c:v>634</c:v>
                </c:pt>
                <c:pt idx="222">
                  <c:v>635</c:v>
                </c:pt>
                <c:pt idx="223">
                  <c:v>636</c:v>
                </c:pt>
                <c:pt idx="224">
                  <c:v>637</c:v>
                </c:pt>
                <c:pt idx="225">
                  <c:v>638</c:v>
                </c:pt>
                <c:pt idx="226">
                  <c:v>639</c:v>
                </c:pt>
                <c:pt idx="227">
                  <c:v>640</c:v>
                </c:pt>
                <c:pt idx="228">
                  <c:v>640</c:v>
                </c:pt>
                <c:pt idx="229">
                  <c:v>641</c:v>
                </c:pt>
                <c:pt idx="230">
                  <c:v>642</c:v>
                </c:pt>
                <c:pt idx="231">
                  <c:v>643</c:v>
                </c:pt>
                <c:pt idx="232">
                  <c:v>644</c:v>
                </c:pt>
                <c:pt idx="233">
                  <c:v>645</c:v>
                </c:pt>
                <c:pt idx="234">
                  <c:v>646</c:v>
                </c:pt>
                <c:pt idx="235">
                  <c:v>647</c:v>
                </c:pt>
                <c:pt idx="236">
                  <c:v>648</c:v>
                </c:pt>
                <c:pt idx="237">
                  <c:v>649</c:v>
                </c:pt>
                <c:pt idx="238">
                  <c:v>650</c:v>
                </c:pt>
              </c:numCache>
            </c:numRef>
          </c:xVal>
          <c:yVal>
            <c:numRef>
              <c:f>'measurement data'!$C$3:$C$241</c:f>
              <c:numCache>
                <c:formatCode>0.0</c:formatCode>
                <c:ptCount val="239"/>
                <c:pt idx="0">
                  <c:v>2</c:v>
                </c:pt>
                <c:pt idx="1">
                  <c:v>2.7</c:v>
                </c:pt>
                <c:pt idx="2">
                  <c:v>3.5</c:v>
                </c:pt>
                <c:pt idx="3">
                  <c:v>4.2</c:v>
                </c:pt>
                <c:pt idx="4">
                  <c:v>5</c:v>
                </c:pt>
                <c:pt idx="5">
                  <c:v>5.8</c:v>
                </c:pt>
                <c:pt idx="6">
                  <c:v>6.6</c:v>
                </c:pt>
                <c:pt idx="7">
                  <c:v>7.4</c:v>
                </c:pt>
                <c:pt idx="8">
                  <c:v>8.1999999999999993</c:v>
                </c:pt>
                <c:pt idx="9">
                  <c:v>9</c:v>
                </c:pt>
                <c:pt idx="10">
                  <c:v>9.6999999999999993</c:v>
                </c:pt>
                <c:pt idx="11">
                  <c:v>10.5</c:v>
                </c:pt>
                <c:pt idx="12">
                  <c:v>11.4</c:v>
                </c:pt>
                <c:pt idx="13">
                  <c:v>12.1</c:v>
                </c:pt>
                <c:pt idx="14">
                  <c:v>12.9</c:v>
                </c:pt>
                <c:pt idx="15">
                  <c:v>13.7</c:v>
                </c:pt>
                <c:pt idx="16">
                  <c:v>14.6</c:v>
                </c:pt>
                <c:pt idx="17">
                  <c:v>15.3</c:v>
                </c:pt>
                <c:pt idx="18">
                  <c:v>16.2</c:v>
                </c:pt>
                <c:pt idx="19">
                  <c:v>17</c:v>
                </c:pt>
                <c:pt idx="20">
                  <c:v>17.8</c:v>
                </c:pt>
                <c:pt idx="21">
                  <c:v>18.600000000000001</c:v>
                </c:pt>
                <c:pt idx="22">
                  <c:v>19.399999999999999</c:v>
                </c:pt>
                <c:pt idx="23">
                  <c:v>20.2</c:v>
                </c:pt>
                <c:pt idx="24">
                  <c:v>21</c:v>
                </c:pt>
                <c:pt idx="25">
                  <c:v>21.8</c:v>
                </c:pt>
                <c:pt idx="26">
                  <c:v>22.6</c:v>
                </c:pt>
                <c:pt idx="27">
                  <c:v>23.4</c:v>
                </c:pt>
                <c:pt idx="28">
                  <c:v>24.2</c:v>
                </c:pt>
                <c:pt idx="29">
                  <c:v>25</c:v>
                </c:pt>
                <c:pt idx="30">
                  <c:v>25.8</c:v>
                </c:pt>
                <c:pt idx="31">
                  <c:v>26.6</c:v>
                </c:pt>
                <c:pt idx="32">
                  <c:v>27.4</c:v>
                </c:pt>
                <c:pt idx="33">
                  <c:v>28.2</c:v>
                </c:pt>
                <c:pt idx="34">
                  <c:v>29.1</c:v>
                </c:pt>
                <c:pt idx="35">
                  <c:v>29.9</c:v>
                </c:pt>
                <c:pt idx="36">
                  <c:v>30.7</c:v>
                </c:pt>
                <c:pt idx="37">
                  <c:v>31.5</c:v>
                </c:pt>
                <c:pt idx="38">
                  <c:v>32.299999999999997</c:v>
                </c:pt>
                <c:pt idx="39">
                  <c:v>33.1</c:v>
                </c:pt>
                <c:pt idx="40">
                  <c:v>33.9</c:v>
                </c:pt>
                <c:pt idx="41">
                  <c:v>34.700000000000003</c:v>
                </c:pt>
                <c:pt idx="42">
                  <c:v>35.6</c:v>
                </c:pt>
                <c:pt idx="43">
                  <c:v>36.299999999999997</c:v>
                </c:pt>
                <c:pt idx="44">
                  <c:v>37.1</c:v>
                </c:pt>
                <c:pt idx="45">
                  <c:v>37.9</c:v>
                </c:pt>
                <c:pt idx="46">
                  <c:v>38.799999999999997</c:v>
                </c:pt>
                <c:pt idx="47">
                  <c:v>39.6</c:v>
                </c:pt>
                <c:pt idx="48">
                  <c:v>40.4</c:v>
                </c:pt>
                <c:pt idx="49">
                  <c:v>41.2</c:v>
                </c:pt>
                <c:pt idx="50">
                  <c:v>42</c:v>
                </c:pt>
                <c:pt idx="51">
                  <c:v>42.8</c:v>
                </c:pt>
                <c:pt idx="52">
                  <c:v>43.6</c:v>
                </c:pt>
                <c:pt idx="53">
                  <c:v>44.4</c:v>
                </c:pt>
                <c:pt idx="54">
                  <c:v>45.2</c:v>
                </c:pt>
                <c:pt idx="55">
                  <c:v>46.1</c:v>
                </c:pt>
                <c:pt idx="56">
                  <c:v>46.8</c:v>
                </c:pt>
                <c:pt idx="57">
                  <c:v>47.7</c:v>
                </c:pt>
                <c:pt idx="58">
                  <c:v>48.4</c:v>
                </c:pt>
                <c:pt idx="59">
                  <c:v>49.3</c:v>
                </c:pt>
                <c:pt idx="60">
                  <c:v>50.1</c:v>
                </c:pt>
                <c:pt idx="61">
                  <c:v>50.9</c:v>
                </c:pt>
                <c:pt idx="62">
                  <c:v>51.7</c:v>
                </c:pt>
                <c:pt idx="63">
                  <c:v>52.5</c:v>
                </c:pt>
                <c:pt idx="64">
                  <c:v>53.3</c:v>
                </c:pt>
                <c:pt idx="65">
                  <c:v>54.1</c:v>
                </c:pt>
                <c:pt idx="66">
                  <c:v>54.9</c:v>
                </c:pt>
                <c:pt idx="67">
                  <c:v>55.7</c:v>
                </c:pt>
                <c:pt idx="68">
                  <c:v>56.5</c:v>
                </c:pt>
                <c:pt idx="69">
                  <c:v>57.3</c:v>
                </c:pt>
                <c:pt idx="70">
                  <c:v>58.2</c:v>
                </c:pt>
                <c:pt idx="71">
                  <c:v>59</c:v>
                </c:pt>
                <c:pt idx="72">
                  <c:v>59.8</c:v>
                </c:pt>
                <c:pt idx="73">
                  <c:v>60.6</c:v>
                </c:pt>
                <c:pt idx="74">
                  <c:v>61.4</c:v>
                </c:pt>
                <c:pt idx="75">
                  <c:v>62.2</c:v>
                </c:pt>
                <c:pt idx="76">
                  <c:v>63</c:v>
                </c:pt>
                <c:pt idx="77">
                  <c:v>63.8</c:v>
                </c:pt>
                <c:pt idx="78">
                  <c:v>64.7</c:v>
                </c:pt>
                <c:pt idx="79">
                  <c:v>65.400000000000006</c:v>
                </c:pt>
                <c:pt idx="80">
                  <c:v>66.3</c:v>
                </c:pt>
                <c:pt idx="81">
                  <c:v>67.099999999999994</c:v>
                </c:pt>
                <c:pt idx="82">
                  <c:v>67.900000000000006</c:v>
                </c:pt>
                <c:pt idx="83">
                  <c:v>68.7</c:v>
                </c:pt>
                <c:pt idx="84">
                  <c:v>69.5</c:v>
                </c:pt>
                <c:pt idx="85">
                  <c:v>70.3</c:v>
                </c:pt>
                <c:pt idx="86">
                  <c:v>71.099999999999994</c:v>
                </c:pt>
                <c:pt idx="87">
                  <c:v>71.900000000000006</c:v>
                </c:pt>
                <c:pt idx="88">
                  <c:v>72.7</c:v>
                </c:pt>
                <c:pt idx="89">
                  <c:v>73.5</c:v>
                </c:pt>
                <c:pt idx="90">
                  <c:v>74.3</c:v>
                </c:pt>
                <c:pt idx="91">
                  <c:v>75.099999999999994</c:v>
                </c:pt>
                <c:pt idx="92">
                  <c:v>75.900000000000006</c:v>
                </c:pt>
                <c:pt idx="93">
                  <c:v>76.7</c:v>
                </c:pt>
                <c:pt idx="94">
                  <c:v>77.5</c:v>
                </c:pt>
                <c:pt idx="95">
                  <c:v>78.3</c:v>
                </c:pt>
                <c:pt idx="96">
                  <c:v>79.2</c:v>
                </c:pt>
                <c:pt idx="97">
                  <c:v>80</c:v>
                </c:pt>
                <c:pt idx="98">
                  <c:v>80.8</c:v>
                </c:pt>
                <c:pt idx="99">
                  <c:v>81.599999999999994</c:v>
                </c:pt>
                <c:pt idx="100">
                  <c:v>82.4</c:v>
                </c:pt>
                <c:pt idx="101">
                  <c:v>83.3</c:v>
                </c:pt>
                <c:pt idx="102">
                  <c:v>84</c:v>
                </c:pt>
                <c:pt idx="103">
                  <c:v>84.9</c:v>
                </c:pt>
                <c:pt idx="104">
                  <c:v>85.6</c:v>
                </c:pt>
                <c:pt idx="105">
                  <c:v>86.4</c:v>
                </c:pt>
                <c:pt idx="106">
                  <c:v>87.3</c:v>
                </c:pt>
                <c:pt idx="107">
                  <c:v>88.1</c:v>
                </c:pt>
                <c:pt idx="108">
                  <c:v>88.9</c:v>
                </c:pt>
                <c:pt idx="109">
                  <c:v>89.7</c:v>
                </c:pt>
                <c:pt idx="110">
                  <c:v>90.5</c:v>
                </c:pt>
                <c:pt idx="111">
                  <c:v>91.3</c:v>
                </c:pt>
                <c:pt idx="112">
                  <c:v>92.1</c:v>
                </c:pt>
                <c:pt idx="113">
                  <c:v>92.9</c:v>
                </c:pt>
                <c:pt idx="114">
                  <c:v>93.7</c:v>
                </c:pt>
                <c:pt idx="115">
                  <c:v>94.5</c:v>
                </c:pt>
                <c:pt idx="116">
                  <c:v>95.3</c:v>
                </c:pt>
                <c:pt idx="117">
                  <c:v>96.2</c:v>
                </c:pt>
                <c:pt idx="118">
                  <c:v>97</c:v>
                </c:pt>
                <c:pt idx="119">
                  <c:v>97.7</c:v>
                </c:pt>
                <c:pt idx="120">
                  <c:v>98.5</c:v>
                </c:pt>
                <c:pt idx="121">
                  <c:v>107</c:v>
                </c:pt>
                <c:pt idx="122">
                  <c:v>115</c:v>
                </c:pt>
                <c:pt idx="123">
                  <c:v>133</c:v>
                </c:pt>
                <c:pt idx="124">
                  <c:v>131.1</c:v>
                </c:pt>
                <c:pt idx="125">
                  <c:v>139.1</c:v>
                </c:pt>
                <c:pt idx="126">
                  <c:v>147.1</c:v>
                </c:pt>
                <c:pt idx="127">
                  <c:v>155.1</c:v>
                </c:pt>
                <c:pt idx="128">
                  <c:v>163.1</c:v>
                </c:pt>
                <c:pt idx="129">
                  <c:v>171.2</c:v>
                </c:pt>
                <c:pt idx="130">
                  <c:v>179.2</c:v>
                </c:pt>
                <c:pt idx="131">
                  <c:v>187.2</c:v>
                </c:pt>
                <c:pt idx="132">
                  <c:v>195.3</c:v>
                </c:pt>
                <c:pt idx="133">
                  <c:v>201</c:v>
                </c:pt>
                <c:pt idx="134">
                  <c:v>209</c:v>
                </c:pt>
                <c:pt idx="135">
                  <c:v>217</c:v>
                </c:pt>
                <c:pt idx="136">
                  <c:v>225</c:v>
                </c:pt>
                <c:pt idx="137">
                  <c:v>233</c:v>
                </c:pt>
                <c:pt idx="138">
                  <c:v>241</c:v>
                </c:pt>
                <c:pt idx="139">
                  <c:v>249</c:v>
                </c:pt>
                <c:pt idx="140">
                  <c:v>257</c:v>
                </c:pt>
                <c:pt idx="141">
                  <c:v>265</c:v>
                </c:pt>
                <c:pt idx="142">
                  <c:v>273</c:v>
                </c:pt>
                <c:pt idx="143">
                  <c:v>281</c:v>
                </c:pt>
                <c:pt idx="144">
                  <c:v>289</c:v>
                </c:pt>
                <c:pt idx="145">
                  <c:v>297</c:v>
                </c:pt>
                <c:pt idx="146">
                  <c:v>305</c:v>
                </c:pt>
                <c:pt idx="147">
                  <c:v>313</c:v>
                </c:pt>
                <c:pt idx="148">
                  <c:v>321</c:v>
                </c:pt>
                <c:pt idx="149">
                  <c:v>329</c:v>
                </c:pt>
                <c:pt idx="150">
                  <c:v>337</c:v>
                </c:pt>
                <c:pt idx="151">
                  <c:v>345</c:v>
                </c:pt>
                <c:pt idx="152">
                  <c:v>353</c:v>
                </c:pt>
                <c:pt idx="153">
                  <c:v>360</c:v>
                </c:pt>
                <c:pt idx="154">
                  <c:v>369</c:v>
                </c:pt>
                <c:pt idx="155">
                  <c:v>376</c:v>
                </c:pt>
                <c:pt idx="156">
                  <c:v>384</c:v>
                </c:pt>
                <c:pt idx="157">
                  <c:v>392</c:v>
                </c:pt>
                <c:pt idx="158">
                  <c:v>400</c:v>
                </c:pt>
                <c:pt idx="159">
                  <c:v>408</c:v>
                </c:pt>
                <c:pt idx="160">
                  <c:v>416</c:v>
                </c:pt>
                <c:pt idx="161">
                  <c:v>424</c:v>
                </c:pt>
                <c:pt idx="162">
                  <c:v>432</c:v>
                </c:pt>
                <c:pt idx="163">
                  <c:v>440</c:v>
                </c:pt>
                <c:pt idx="164">
                  <c:v>448</c:v>
                </c:pt>
                <c:pt idx="165">
                  <c:v>456</c:v>
                </c:pt>
                <c:pt idx="166">
                  <c:v>464</c:v>
                </c:pt>
                <c:pt idx="167">
                  <c:v>465</c:v>
                </c:pt>
                <c:pt idx="168">
                  <c:v>465</c:v>
                </c:pt>
                <c:pt idx="169">
                  <c:v>466</c:v>
                </c:pt>
                <c:pt idx="170">
                  <c:v>467</c:v>
                </c:pt>
                <c:pt idx="171">
                  <c:v>468</c:v>
                </c:pt>
                <c:pt idx="172">
                  <c:v>469</c:v>
                </c:pt>
                <c:pt idx="173">
                  <c:v>469</c:v>
                </c:pt>
                <c:pt idx="174">
                  <c:v>470</c:v>
                </c:pt>
                <c:pt idx="175">
                  <c:v>471</c:v>
                </c:pt>
                <c:pt idx="176">
                  <c:v>472</c:v>
                </c:pt>
                <c:pt idx="177">
                  <c:v>473</c:v>
                </c:pt>
                <c:pt idx="178">
                  <c:v>473</c:v>
                </c:pt>
                <c:pt idx="179">
                  <c:v>473</c:v>
                </c:pt>
                <c:pt idx="180">
                  <c:v>474</c:v>
                </c:pt>
                <c:pt idx="181">
                  <c:v>475</c:v>
                </c:pt>
                <c:pt idx="182">
                  <c:v>476</c:v>
                </c:pt>
                <c:pt idx="183">
                  <c:v>477</c:v>
                </c:pt>
                <c:pt idx="184">
                  <c:v>478</c:v>
                </c:pt>
                <c:pt idx="185">
                  <c:v>478</c:v>
                </c:pt>
                <c:pt idx="186">
                  <c:v>479</c:v>
                </c:pt>
                <c:pt idx="187">
                  <c:v>480</c:v>
                </c:pt>
                <c:pt idx="188">
                  <c:v>481</c:v>
                </c:pt>
                <c:pt idx="189">
                  <c:v>481</c:v>
                </c:pt>
                <c:pt idx="190">
                  <c:v>482</c:v>
                </c:pt>
                <c:pt idx="191">
                  <c:v>483</c:v>
                </c:pt>
                <c:pt idx="192">
                  <c:v>484</c:v>
                </c:pt>
                <c:pt idx="193">
                  <c:v>485</c:v>
                </c:pt>
                <c:pt idx="194">
                  <c:v>486</c:v>
                </c:pt>
                <c:pt idx="195">
                  <c:v>486</c:v>
                </c:pt>
                <c:pt idx="196">
                  <c:v>487</c:v>
                </c:pt>
                <c:pt idx="197">
                  <c:v>488</c:v>
                </c:pt>
                <c:pt idx="198">
                  <c:v>489</c:v>
                </c:pt>
                <c:pt idx="199">
                  <c:v>490</c:v>
                </c:pt>
                <c:pt idx="200">
                  <c:v>490</c:v>
                </c:pt>
                <c:pt idx="201">
                  <c:v>491</c:v>
                </c:pt>
                <c:pt idx="202">
                  <c:v>492</c:v>
                </c:pt>
                <c:pt idx="203">
                  <c:v>493</c:v>
                </c:pt>
                <c:pt idx="204">
                  <c:v>494</c:v>
                </c:pt>
                <c:pt idx="205">
                  <c:v>494</c:v>
                </c:pt>
                <c:pt idx="206">
                  <c:v>495</c:v>
                </c:pt>
                <c:pt idx="207">
                  <c:v>496</c:v>
                </c:pt>
                <c:pt idx="208">
                  <c:v>497</c:v>
                </c:pt>
                <c:pt idx="209">
                  <c:v>497</c:v>
                </c:pt>
                <c:pt idx="210">
                  <c:v>498</c:v>
                </c:pt>
                <c:pt idx="211">
                  <c:v>499</c:v>
                </c:pt>
                <c:pt idx="212">
                  <c:v>500</c:v>
                </c:pt>
                <c:pt idx="213">
                  <c:v>501</c:v>
                </c:pt>
                <c:pt idx="214">
                  <c:v>501</c:v>
                </c:pt>
                <c:pt idx="215">
                  <c:v>502</c:v>
                </c:pt>
                <c:pt idx="216">
                  <c:v>503</c:v>
                </c:pt>
                <c:pt idx="217">
                  <c:v>504</c:v>
                </c:pt>
                <c:pt idx="218">
                  <c:v>504</c:v>
                </c:pt>
                <c:pt idx="219">
                  <c:v>505</c:v>
                </c:pt>
                <c:pt idx="220">
                  <c:v>506</c:v>
                </c:pt>
                <c:pt idx="221">
                  <c:v>507</c:v>
                </c:pt>
                <c:pt idx="222">
                  <c:v>508</c:v>
                </c:pt>
                <c:pt idx="223">
                  <c:v>508</c:v>
                </c:pt>
                <c:pt idx="224">
                  <c:v>510</c:v>
                </c:pt>
                <c:pt idx="225">
                  <c:v>510</c:v>
                </c:pt>
                <c:pt idx="226">
                  <c:v>511</c:v>
                </c:pt>
                <c:pt idx="227">
                  <c:v>512</c:v>
                </c:pt>
                <c:pt idx="228">
                  <c:v>513</c:v>
                </c:pt>
                <c:pt idx="229">
                  <c:v>514</c:v>
                </c:pt>
                <c:pt idx="230">
                  <c:v>515</c:v>
                </c:pt>
                <c:pt idx="231">
                  <c:v>515</c:v>
                </c:pt>
                <c:pt idx="232">
                  <c:v>516</c:v>
                </c:pt>
                <c:pt idx="233">
                  <c:v>517</c:v>
                </c:pt>
                <c:pt idx="234">
                  <c:v>518</c:v>
                </c:pt>
                <c:pt idx="235">
                  <c:v>519</c:v>
                </c:pt>
                <c:pt idx="236">
                  <c:v>519</c:v>
                </c:pt>
                <c:pt idx="237">
                  <c:v>519</c:v>
                </c:pt>
                <c:pt idx="238">
                  <c:v>520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4A-43C4-99C9-74D3313A0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884095"/>
        <c:axId val="318859135"/>
      </c:scatterChart>
      <c:valAx>
        <c:axId val="318884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859135"/>
        <c:crosses val="autoZero"/>
        <c:crossBetween val="midCat"/>
      </c:valAx>
      <c:valAx>
        <c:axId val="31885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884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Vsense/mV over n</a:t>
            </a:r>
          </a:p>
        </c:rich>
      </c:tx>
      <c:layout>
        <c:manualLayout>
          <c:xMode val="edge"/>
          <c:yMode val="edge"/>
          <c:x val="9.0861111111111142E-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'measurement data'!$D$2</c:f>
              <c:strCache>
                <c:ptCount val="1"/>
                <c:pt idx="0">
                  <c:v>Vsense
mV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'measurement data'!$A$3:$A$241</c:f>
              <c:numCache>
                <c:formatCode>General</c:formatCode>
                <c:ptCount val="2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130</c:v>
                </c:pt>
                <c:pt idx="122">
                  <c:v>140</c:v>
                </c:pt>
                <c:pt idx="123">
                  <c:v>150</c:v>
                </c:pt>
                <c:pt idx="124">
                  <c:v>160</c:v>
                </c:pt>
                <c:pt idx="125">
                  <c:v>170</c:v>
                </c:pt>
                <c:pt idx="126">
                  <c:v>180</c:v>
                </c:pt>
                <c:pt idx="127">
                  <c:v>190</c:v>
                </c:pt>
                <c:pt idx="128">
                  <c:v>200</c:v>
                </c:pt>
                <c:pt idx="129">
                  <c:v>210</c:v>
                </c:pt>
                <c:pt idx="130">
                  <c:v>220</c:v>
                </c:pt>
                <c:pt idx="131">
                  <c:v>230</c:v>
                </c:pt>
                <c:pt idx="132">
                  <c:v>240</c:v>
                </c:pt>
                <c:pt idx="133">
                  <c:v>250</c:v>
                </c:pt>
                <c:pt idx="134">
                  <c:v>260</c:v>
                </c:pt>
                <c:pt idx="135">
                  <c:v>270</c:v>
                </c:pt>
                <c:pt idx="136">
                  <c:v>280</c:v>
                </c:pt>
                <c:pt idx="137">
                  <c:v>290</c:v>
                </c:pt>
                <c:pt idx="138">
                  <c:v>300</c:v>
                </c:pt>
                <c:pt idx="139">
                  <c:v>310</c:v>
                </c:pt>
                <c:pt idx="140">
                  <c:v>320</c:v>
                </c:pt>
                <c:pt idx="141">
                  <c:v>330</c:v>
                </c:pt>
                <c:pt idx="142">
                  <c:v>340</c:v>
                </c:pt>
                <c:pt idx="143">
                  <c:v>350</c:v>
                </c:pt>
                <c:pt idx="144">
                  <c:v>360</c:v>
                </c:pt>
                <c:pt idx="145">
                  <c:v>370</c:v>
                </c:pt>
                <c:pt idx="146">
                  <c:v>380</c:v>
                </c:pt>
                <c:pt idx="147">
                  <c:v>390</c:v>
                </c:pt>
                <c:pt idx="148">
                  <c:v>400</c:v>
                </c:pt>
                <c:pt idx="149">
                  <c:v>410</c:v>
                </c:pt>
                <c:pt idx="150">
                  <c:v>420</c:v>
                </c:pt>
                <c:pt idx="151">
                  <c:v>430</c:v>
                </c:pt>
                <c:pt idx="152">
                  <c:v>440</c:v>
                </c:pt>
                <c:pt idx="153">
                  <c:v>450</c:v>
                </c:pt>
                <c:pt idx="154">
                  <c:v>460</c:v>
                </c:pt>
                <c:pt idx="155">
                  <c:v>470</c:v>
                </c:pt>
                <c:pt idx="156">
                  <c:v>480</c:v>
                </c:pt>
                <c:pt idx="157">
                  <c:v>490</c:v>
                </c:pt>
                <c:pt idx="158">
                  <c:v>500</c:v>
                </c:pt>
                <c:pt idx="159">
                  <c:v>510</c:v>
                </c:pt>
                <c:pt idx="160">
                  <c:v>520</c:v>
                </c:pt>
                <c:pt idx="161">
                  <c:v>530</c:v>
                </c:pt>
                <c:pt idx="162">
                  <c:v>540</c:v>
                </c:pt>
                <c:pt idx="163">
                  <c:v>550</c:v>
                </c:pt>
                <c:pt idx="164">
                  <c:v>560</c:v>
                </c:pt>
                <c:pt idx="165">
                  <c:v>570</c:v>
                </c:pt>
                <c:pt idx="166">
                  <c:v>580</c:v>
                </c:pt>
                <c:pt idx="167">
                  <c:v>581</c:v>
                </c:pt>
                <c:pt idx="168">
                  <c:v>582</c:v>
                </c:pt>
                <c:pt idx="169">
                  <c:v>583</c:v>
                </c:pt>
                <c:pt idx="170">
                  <c:v>584</c:v>
                </c:pt>
                <c:pt idx="171">
                  <c:v>585</c:v>
                </c:pt>
                <c:pt idx="172">
                  <c:v>586</c:v>
                </c:pt>
                <c:pt idx="173">
                  <c:v>587</c:v>
                </c:pt>
                <c:pt idx="174">
                  <c:v>588</c:v>
                </c:pt>
                <c:pt idx="175">
                  <c:v>589</c:v>
                </c:pt>
                <c:pt idx="176">
                  <c:v>590</c:v>
                </c:pt>
                <c:pt idx="177">
                  <c:v>590</c:v>
                </c:pt>
                <c:pt idx="178">
                  <c:v>591</c:v>
                </c:pt>
                <c:pt idx="179">
                  <c:v>592</c:v>
                </c:pt>
                <c:pt idx="180">
                  <c:v>593</c:v>
                </c:pt>
                <c:pt idx="181">
                  <c:v>594</c:v>
                </c:pt>
                <c:pt idx="182">
                  <c:v>595</c:v>
                </c:pt>
                <c:pt idx="183">
                  <c:v>596</c:v>
                </c:pt>
                <c:pt idx="184">
                  <c:v>597</c:v>
                </c:pt>
                <c:pt idx="185">
                  <c:v>598</c:v>
                </c:pt>
                <c:pt idx="186">
                  <c:v>599</c:v>
                </c:pt>
                <c:pt idx="187">
                  <c:v>600</c:v>
                </c:pt>
                <c:pt idx="188">
                  <c:v>601</c:v>
                </c:pt>
                <c:pt idx="189">
                  <c:v>602</c:v>
                </c:pt>
                <c:pt idx="190">
                  <c:v>603</c:v>
                </c:pt>
                <c:pt idx="191">
                  <c:v>604</c:v>
                </c:pt>
                <c:pt idx="192">
                  <c:v>605</c:v>
                </c:pt>
                <c:pt idx="193">
                  <c:v>606</c:v>
                </c:pt>
                <c:pt idx="194">
                  <c:v>607</c:v>
                </c:pt>
                <c:pt idx="195">
                  <c:v>608</c:v>
                </c:pt>
                <c:pt idx="196">
                  <c:v>609</c:v>
                </c:pt>
                <c:pt idx="197">
                  <c:v>610</c:v>
                </c:pt>
                <c:pt idx="198">
                  <c:v>611</c:v>
                </c:pt>
                <c:pt idx="199">
                  <c:v>612</c:v>
                </c:pt>
                <c:pt idx="200">
                  <c:v>613</c:v>
                </c:pt>
                <c:pt idx="201">
                  <c:v>614</c:v>
                </c:pt>
                <c:pt idx="202">
                  <c:v>615</c:v>
                </c:pt>
                <c:pt idx="203">
                  <c:v>616</c:v>
                </c:pt>
                <c:pt idx="204">
                  <c:v>617</c:v>
                </c:pt>
                <c:pt idx="205">
                  <c:v>618</c:v>
                </c:pt>
                <c:pt idx="206">
                  <c:v>619</c:v>
                </c:pt>
                <c:pt idx="207">
                  <c:v>620</c:v>
                </c:pt>
                <c:pt idx="208">
                  <c:v>621</c:v>
                </c:pt>
                <c:pt idx="209">
                  <c:v>622</c:v>
                </c:pt>
                <c:pt idx="210">
                  <c:v>623</c:v>
                </c:pt>
                <c:pt idx="211">
                  <c:v>624</c:v>
                </c:pt>
                <c:pt idx="212">
                  <c:v>625</c:v>
                </c:pt>
                <c:pt idx="213">
                  <c:v>626</c:v>
                </c:pt>
                <c:pt idx="214">
                  <c:v>627</c:v>
                </c:pt>
                <c:pt idx="215">
                  <c:v>628</c:v>
                </c:pt>
                <c:pt idx="216">
                  <c:v>629</c:v>
                </c:pt>
                <c:pt idx="217">
                  <c:v>630</c:v>
                </c:pt>
                <c:pt idx="218">
                  <c:v>631</c:v>
                </c:pt>
                <c:pt idx="219">
                  <c:v>632</c:v>
                </c:pt>
                <c:pt idx="220">
                  <c:v>633</c:v>
                </c:pt>
                <c:pt idx="221">
                  <c:v>634</c:v>
                </c:pt>
                <c:pt idx="222">
                  <c:v>635</c:v>
                </c:pt>
                <c:pt idx="223">
                  <c:v>636</c:v>
                </c:pt>
                <c:pt idx="224">
                  <c:v>637</c:v>
                </c:pt>
                <c:pt idx="225">
                  <c:v>638</c:v>
                </c:pt>
                <c:pt idx="226">
                  <c:v>639</c:v>
                </c:pt>
                <c:pt idx="227">
                  <c:v>640</c:v>
                </c:pt>
                <c:pt idx="228">
                  <c:v>640</c:v>
                </c:pt>
                <c:pt idx="229">
                  <c:v>641</c:v>
                </c:pt>
                <c:pt idx="230">
                  <c:v>642</c:v>
                </c:pt>
                <c:pt idx="231">
                  <c:v>643</c:v>
                </c:pt>
                <c:pt idx="232">
                  <c:v>644</c:v>
                </c:pt>
                <c:pt idx="233">
                  <c:v>645</c:v>
                </c:pt>
                <c:pt idx="234">
                  <c:v>646</c:v>
                </c:pt>
                <c:pt idx="235">
                  <c:v>647</c:v>
                </c:pt>
                <c:pt idx="236">
                  <c:v>648</c:v>
                </c:pt>
                <c:pt idx="237">
                  <c:v>649</c:v>
                </c:pt>
                <c:pt idx="238">
                  <c:v>650</c:v>
                </c:pt>
              </c:numCache>
            </c:numRef>
          </c:xVal>
          <c:yVal>
            <c:numRef>
              <c:f>'measurement data'!$D$3:$D$241</c:f>
              <c:numCache>
                <c:formatCode>0.0</c:formatCode>
                <c:ptCount val="2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</c:v>
                </c:pt>
                <c:pt idx="21">
                  <c:v>0.1</c:v>
                </c:pt>
                <c:pt idx="22">
                  <c:v>0</c:v>
                </c:pt>
                <c:pt idx="23">
                  <c:v>0.1</c:v>
                </c:pt>
                <c:pt idx="24">
                  <c:v>0.1</c:v>
                </c:pt>
                <c:pt idx="25">
                  <c:v>0.2</c:v>
                </c:pt>
                <c:pt idx="26">
                  <c:v>0.3</c:v>
                </c:pt>
                <c:pt idx="27">
                  <c:v>0.4</c:v>
                </c:pt>
                <c:pt idx="28">
                  <c:v>0.4</c:v>
                </c:pt>
                <c:pt idx="29">
                  <c:v>0.5</c:v>
                </c:pt>
                <c:pt idx="30">
                  <c:v>0.6</c:v>
                </c:pt>
                <c:pt idx="31">
                  <c:v>0.7</c:v>
                </c:pt>
                <c:pt idx="32">
                  <c:v>0.8</c:v>
                </c:pt>
                <c:pt idx="33">
                  <c:v>0.8</c:v>
                </c:pt>
                <c:pt idx="34">
                  <c:v>0.9</c:v>
                </c:pt>
                <c:pt idx="35">
                  <c:v>1</c:v>
                </c:pt>
                <c:pt idx="36">
                  <c:v>1.1000000000000001</c:v>
                </c:pt>
                <c:pt idx="37">
                  <c:v>1.2</c:v>
                </c:pt>
                <c:pt idx="38">
                  <c:v>1.3</c:v>
                </c:pt>
                <c:pt idx="39">
                  <c:v>1.4</c:v>
                </c:pt>
                <c:pt idx="40">
                  <c:v>1.5</c:v>
                </c:pt>
                <c:pt idx="41">
                  <c:v>1.6</c:v>
                </c:pt>
                <c:pt idx="42">
                  <c:v>1.7</c:v>
                </c:pt>
                <c:pt idx="43">
                  <c:v>1.8</c:v>
                </c:pt>
                <c:pt idx="44">
                  <c:v>1.9</c:v>
                </c:pt>
                <c:pt idx="45">
                  <c:v>2</c:v>
                </c:pt>
                <c:pt idx="46">
                  <c:v>2.1</c:v>
                </c:pt>
                <c:pt idx="47">
                  <c:v>2.2000000000000002</c:v>
                </c:pt>
                <c:pt idx="48">
                  <c:v>2.2999999999999998</c:v>
                </c:pt>
                <c:pt idx="49">
                  <c:v>2.4</c:v>
                </c:pt>
                <c:pt idx="50">
                  <c:v>2.5</c:v>
                </c:pt>
                <c:pt idx="51">
                  <c:v>2.6</c:v>
                </c:pt>
                <c:pt idx="52">
                  <c:v>2.7</c:v>
                </c:pt>
                <c:pt idx="53">
                  <c:v>2.8</c:v>
                </c:pt>
                <c:pt idx="54">
                  <c:v>3</c:v>
                </c:pt>
                <c:pt idx="55">
                  <c:v>3.1</c:v>
                </c:pt>
                <c:pt idx="56">
                  <c:v>3.2</c:v>
                </c:pt>
                <c:pt idx="57">
                  <c:v>3.3</c:v>
                </c:pt>
                <c:pt idx="58">
                  <c:v>3.5</c:v>
                </c:pt>
                <c:pt idx="59">
                  <c:v>3.6</c:v>
                </c:pt>
                <c:pt idx="60">
                  <c:v>3.7</c:v>
                </c:pt>
                <c:pt idx="61">
                  <c:v>3.8</c:v>
                </c:pt>
                <c:pt idx="62">
                  <c:v>4</c:v>
                </c:pt>
                <c:pt idx="63">
                  <c:v>4.0999999999999996</c:v>
                </c:pt>
                <c:pt idx="64">
                  <c:v>4.2</c:v>
                </c:pt>
                <c:pt idx="65">
                  <c:v>4.3</c:v>
                </c:pt>
                <c:pt idx="66">
                  <c:v>4.4000000000000004</c:v>
                </c:pt>
                <c:pt idx="67">
                  <c:v>4.5</c:v>
                </c:pt>
                <c:pt idx="68">
                  <c:v>4.7</c:v>
                </c:pt>
                <c:pt idx="69">
                  <c:v>4.8</c:v>
                </c:pt>
                <c:pt idx="70">
                  <c:v>4.9000000000000004</c:v>
                </c:pt>
                <c:pt idx="71">
                  <c:v>5.0999999999999996</c:v>
                </c:pt>
                <c:pt idx="72">
                  <c:v>5.2</c:v>
                </c:pt>
                <c:pt idx="73">
                  <c:v>5.3</c:v>
                </c:pt>
                <c:pt idx="74">
                  <c:v>5.4</c:v>
                </c:pt>
                <c:pt idx="75">
                  <c:v>5.5</c:v>
                </c:pt>
                <c:pt idx="76">
                  <c:v>5.6</c:v>
                </c:pt>
                <c:pt idx="77">
                  <c:v>5.8</c:v>
                </c:pt>
                <c:pt idx="78">
                  <c:v>5.9</c:v>
                </c:pt>
                <c:pt idx="79">
                  <c:v>6</c:v>
                </c:pt>
                <c:pt idx="80">
                  <c:v>6.1</c:v>
                </c:pt>
                <c:pt idx="81">
                  <c:v>6.2</c:v>
                </c:pt>
                <c:pt idx="82">
                  <c:v>6.3</c:v>
                </c:pt>
                <c:pt idx="83">
                  <c:v>6.5</c:v>
                </c:pt>
                <c:pt idx="84">
                  <c:v>6.6</c:v>
                </c:pt>
                <c:pt idx="85">
                  <c:v>6.7</c:v>
                </c:pt>
                <c:pt idx="86">
                  <c:v>6.8</c:v>
                </c:pt>
                <c:pt idx="87">
                  <c:v>6.9</c:v>
                </c:pt>
                <c:pt idx="88">
                  <c:v>7</c:v>
                </c:pt>
                <c:pt idx="89">
                  <c:v>7.2</c:v>
                </c:pt>
                <c:pt idx="90">
                  <c:v>7.3</c:v>
                </c:pt>
                <c:pt idx="91">
                  <c:v>7.4</c:v>
                </c:pt>
                <c:pt idx="92">
                  <c:v>7.5</c:v>
                </c:pt>
                <c:pt idx="93">
                  <c:v>7.6</c:v>
                </c:pt>
                <c:pt idx="94">
                  <c:v>7.7</c:v>
                </c:pt>
                <c:pt idx="95">
                  <c:v>7.8</c:v>
                </c:pt>
                <c:pt idx="96">
                  <c:v>7.9</c:v>
                </c:pt>
                <c:pt idx="97">
                  <c:v>8</c:v>
                </c:pt>
                <c:pt idx="98">
                  <c:v>8.1999999999999993</c:v>
                </c:pt>
                <c:pt idx="99">
                  <c:v>8.3000000000000007</c:v>
                </c:pt>
                <c:pt idx="100">
                  <c:v>8.4</c:v>
                </c:pt>
                <c:pt idx="101">
                  <c:v>8.5</c:v>
                </c:pt>
                <c:pt idx="102">
                  <c:v>8.6</c:v>
                </c:pt>
                <c:pt idx="103">
                  <c:v>8.6999999999999993</c:v>
                </c:pt>
                <c:pt idx="104">
                  <c:v>8.8000000000000007</c:v>
                </c:pt>
                <c:pt idx="105">
                  <c:v>8.9</c:v>
                </c:pt>
                <c:pt idx="106">
                  <c:v>9</c:v>
                </c:pt>
                <c:pt idx="107">
                  <c:v>9.1</c:v>
                </c:pt>
                <c:pt idx="108">
                  <c:v>9.1999999999999993</c:v>
                </c:pt>
                <c:pt idx="109">
                  <c:v>9.3000000000000007</c:v>
                </c:pt>
                <c:pt idx="110">
                  <c:v>9.4</c:v>
                </c:pt>
                <c:pt idx="111">
                  <c:v>9.5</c:v>
                </c:pt>
                <c:pt idx="112">
                  <c:v>9.6</c:v>
                </c:pt>
                <c:pt idx="113">
                  <c:v>9.6999999999999993</c:v>
                </c:pt>
                <c:pt idx="114">
                  <c:v>9.8000000000000007</c:v>
                </c:pt>
                <c:pt idx="115">
                  <c:v>9.9</c:v>
                </c:pt>
                <c:pt idx="116">
                  <c:v>10</c:v>
                </c:pt>
                <c:pt idx="117">
                  <c:v>10.1</c:v>
                </c:pt>
                <c:pt idx="118">
                  <c:v>10.199999999999999</c:v>
                </c:pt>
                <c:pt idx="119">
                  <c:v>10.3</c:v>
                </c:pt>
                <c:pt idx="120">
                  <c:v>10.4</c:v>
                </c:pt>
                <c:pt idx="121">
                  <c:v>11.3</c:v>
                </c:pt>
                <c:pt idx="122">
                  <c:v>12.2</c:v>
                </c:pt>
                <c:pt idx="123">
                  <c:v>13</c:v>
                </c:pt>
                <c:pt idx="124">
                  <c:v>13.8</c:v>
                </c:pt>
                <c:pt idx="125">
                  <c:v>14.6</c:v>
                </c:pt>
                <c:pt idx="126">
                  <c:v>15.4</c:v>
                </c:pt>
                <c:pt idx="127">
                  <c:v>16.2</c:v>
                </c:pt>
                <c:pt idx="128">
                  <c:v>17</c:v>
                </c:pt>
                <c:pt idx="129">
                  <c:v>17.8</c:v>
                </c:pt>
                <c:pt idx="130">
                  <c:v>18.5</c:v>
                </c:pt>
                <c:pt idx="131">
                  <c:v>19.3</c:v>
                </c:pt>
                <c:pt idx="132">
                  <c:v>20.100000000000001</c:v>
                </c:pt>
                <c:pt idx="133">
                  <c:v>20.8</c:v>
                </c:pt>
                <c:pt idx="134">
                  <c:v>21.6</c:v>
                </c:pt>
                <c:pt idx="135">
                  <c:v>22.3</c:v>
                </c:pt>
                <c:pt idx="136">
                  <c:v>23.1</c:v>
                </c:pt>
                <c:pt idx="137">
                  <c:v>23.8</c:v>
                </c:pt>
                <c:pt idx="138">
                  <c:v>24.6</c:v>
                </c:pt>
                <c:pt idx="139">
                  <c:v>25.3</c:v>
                </c:pt>
                <c:pt idx="140">
                  <c:v>26</c:v>
                </c:pt>
                <c:pt idx="141">
                  <c:v>26.7</c:v>
                </c:pt>
                <c:pt idx="142">
                  <c:v>27.5</c:v>
                </c:pt>
                <c:pt idx="143">
                  <c:v>28.2</c:v>
                </c:pt>
                <c:pt idx="144">
                  <c:v>28.9</c:v>
                </c:pt>
                <c:pt idx="145">
                  <c:v>29.6</c:v>
                </c:pt>
                <c:pt idx="146">
                  <c:v>30.3</c:v>
                </c:pt>
                <c:pt idx="147">
                  <c:v>31</c:v>
                </c:pt>
                <c:pt idx="148">
                  <c:v>31.7</c:v>
                </c:pt>
                <c:pt idx="149">
                  <c:v>32.4</c:v>
                </c:pt>
                <c:pt idx="150">
                  <c:v>33.1</c:v>
                </c:pt>
                <c:pt idx="151">
                  <c:v>33.799999999999997</c:v>
                </c:pt>
                <c:pt idx="152">
                  <c:v>34.5</c:v>
                </c:pt>
                <c:pt idx="153">
                  <c:v>35.200000000000003</c:v>
                </c:pt>
                <c:pt idx="154">
                  <c:v>35.9</c:v>
                </c:pt>
                <c:pt idx="155">
                  <c:v>36.6</c:v>
                </c:pt>
                <c:pt idx="156">
                  <c:v>37.299999999999997</c:v>
                </c:pt>
                <c:pt idx="157">
                  <c:v>39</c:v>
                </c:pt>
                <c:pt idx="158">
                  <c:v>38.700000000000003</c:v>
                </c:pt>
                <c:pt idx="159">
                  <c:v>39.5</c:v>
                </c:pt>
                <c:pt idx="160">
                  <c:v>40.200000000000003</c:v>
                </c:pt>
                <c:pt idx="161">
                  <c:v>41</c:v>
                </c:pt>
                <c:pt idx="162">
                  <c:v>41.7</c:v>
                </c:pt>
                <c:pt idx="163">
                  <c:v>42.5</c:v>
                </c:pt>
                <c:pt idx="164">
                  <c:v>43.2</c:v>
                </c:pt>
                <c:pt idx="165">
                  <c:v>44</c:v>
                </c:pt>
                <c:pt idx="166">
                  <c:v>44.7</c:v>
                </c:pt>
                <c:pt idx="167">
                  <c:v>44.8</c:v>
                </c:pt>
                <c:pt idx="168">
                  <c:v>44.9</c:v>
                </c:pt>
                <c:pt idx="169">
                  <c:v>45</c:v>
                </c:pt>
                <c:pt idx="170">
                  <c:v>45</c:v>
                </c:pt>
                <c:pt idx="171">
                  <c:v>45.1</c:v>
                </c:pt>
                <c:pt idx="172">
                  <c:v>45.2</c:v>
                </c:pt>
                <c:pt idx="173">
                  <c:v>45.2</c:v>
                </c:pt>
                <c:pt idx="174">
                  <c:v>45.3</c:v>
                </c:pt>
                <c:pt idx="175">
                  <c:v>45.4</c:v>
                </c:pt>
                <c:pt idx="176">
                  <c:v>45.5</c:v>
                </c:pt>
                <c:pt idx="177">
                  <c:v>45.5</c:v>
                </c:pt>
                <c:pt idx="178">
                  <c:v>45.5</c:v>
                </c:pt>
                <c:pt idx="179">
                  <c:v>45.6</c:v>
                </c:pt>
                <c:pt idx="180">
                  <c:v>45.7</c:v>
                </c:pt>
                <c:pt idx="181">
                  <c:v>45.7</c:v>
                </c:pt>
                <c:pt idx="182">
                  <c:v>45.8</c:v>
                </c:pt>
                <c:pt idx="183">
                  <c:v>45.9</c:v>
                </c:pt>
                <c:pt idx="184">
                  <c:v>46</c:v>
                </c:pt>
                <c:pt idx="185">
                  <c:v>46</c:v>
                </c:pt>
                <c:pt idx="186">
                  <c:v>46.1</c:v>
                </c:pt>
                <c:pt idx="187">
                  <c:v>46.2</c:v>
                </c:pt>
                <c:pt idx="188">
                  <c:v>46.2</c:v>
                </c:pt>
                <c:pt idx="189">
                  <c:v>46.3</c:v>
                </c:pt>
                <c:pt idx="190">
                  <c:v>46.4</c:v>
                </c:pt>
                <c:pt idx="191">
                  <c:v>46.4</c:v>
                </c:pt>
                <c:pt idx="192">
                  <c:v>46.5</c:v>
                </c:pt>
                <c:pt idx="193">
                  <c:v>46.6</c:v>
                </c:pt>
                <c:pt idx="194">
                  <c:v>46.7</c:v>
                </c:pt>
                <c:pt idx="195">
                  <c:v>46.7</c:v>
                </c:pt>
                <c:pt idx="196">
                  <c:v>46.8</c:v>
                </c:pt>
                <c:pt idx="197">
                  <c:v>46.9</c:v>
                </c:pt>
                <c:pt idx="198">
                  <c:v>46.9</c:v>
                </c:pt>
                <c:pt idx="199">
                  <c:v>47</c:v>
                </c:pt>
                <c:pt idx="200">
                  <c:v>47.1</c:v>
                </c:pt>
                <c:pt idx="201">
                  <c:v>47.1</c:v>
                </c:pt>
                <c:pt idx="202">
                  <c:v>47.2</c:v>
                </c:pt>
                <c:pt idx="203">
                  <c:v>47.3</c:v>
                </c:pt>
                <c:pt idx="204">
                  <c:v>47.4</c:v>
                </c:pt>
                <c:pt idx="205">
                  <c:v>47.5</c:v>
                </c:pt>
                <c:pt idx="206">
                  <c:v>47.5</c:v>
                </c:pt>
                <c:pt idx="207">
                  <c:v>47.6</c:v>
                </c:pt>
                <c:pt idx="208">
                  <c:v>47.7</c:v>
                </c:pt>
                <c:pt idx="209">
                  <c:v>47.8</c:v>
                </c:pt>
                <c:pt idx="210">
                  <c:v>47.9</c:v>
                </c:pt>
                <c:pt idx="211">
                  <c:v>48</c:v>
                </c:pt>
                <c:pt idx="212">
                  <c:v>48</c:v>
                </c:pt>
                <c:pt idx="213">
                  <c:v>48.1</c:v>
                </c:pt>
                <c:pt idx="214">
                  <c:v>48.2</c:v>
                </c:pt>
                <c:pt idx="215">
                  <c:v>48.3</c:v>
                </c:pt>
                <c:pt idx="216">
                  <c:v>48.4</c:v>
                </c:pt>
                <c:pt idx="217">
                  <c:v>48.4</c:v>
                </c:pt>
                <c:pt idx="218">
                  <c:v>48.5</c:v>
                </c:pt>
                <c:pt idx="219">
                  <c:v>48.6</c:v>
                </c:pt>
                <c:pt idx="220">
                  <c:v>48.7</c:v>
                </c:pt>
                <c:pt idx="221">
                  <c:v>48.7</c:v>
                </c:pt>
                <c:pt idx="222">
                  <c:v>48.8</c:v>
                </c:pt>
                <c:pt idx="223">
                  <c:v>48.9</c:v>
                </c:pt>
                <c:pt idx="224">
                  <c:v>49</c:v>
                </c:pt>
                <c:pt idx="225">
                  <c:v>49.1</c:v>
                </c:pt>
                <c:pt idx="226">
                  <c:v>49.1</c:v>
                </c:pt>
                <c:pt idx="227">
                  <c:v>49.1</c:v>
                </c:pt>
                <c:pt idx="228">
                  <c:v>49.1</c:v>
                </c:pt>
                <c:pt idx="229">
                  <c:v>49.1</c:v>
                </c:pt>
                <c:pt idx="230">
                  <c:v>49.1</c:v>
                </c:pt>
                <c:pt idx="231">
                  <c:v>49.1</c:v>
                </c:pt>
                <c:pt idx="232">
                  <c:v>49.1</c:v>
                </c:pt>
                <c:pt idx="233">
                  <c:v>49.1</c:v>
                </c:pt>
                <c:pt idx="234">
                  <c:v>49.1</c:v>
                </c:pt>
                <c:pt idx="235">
                  <c:v>49.1</c:v>
                </c:pt>
                <c:pt idx="236">
                  <c:v>49.1</c:v>
                </c:pt>
                <c:pt idx="237">
                  <c:v>49.1</c:v>
                </c:pt>
                <c:pt idx="238">
                  <c:v>49.1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11-449A-A11F-C64F0ABCC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882655"/>
        <c:axId val="318871615"/>
      </c:scatterChart>
      <c:valAx>
        <c:axId val="318882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871615"/>
        <c:crosses val="autoZero"/>
        <c:crossBetween val="midCat"/>
      </c:valAx>
      <c:valAx>
        <c:axId val="31887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882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Δ</a:t>
            </a:r>
            <a:r>
              <a:rPr lang="en-US"/>
              <a:t>U (supply - ina)/mV over n</a:t>
            </a:r>
          </a:p>
        </c:rich>
      </c:tx>
      <c:layout>
        <c:manualLayout>
          <c:xMode val="edge"/>
          <c:yMode val="edge"/>
          <c:x val="8.0506780402449699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'measurement data'!$P$2</c:f>
              <c:strCache>
                <c:ptCount val="1"/>
                <c:pt idx="0">
                  <c:v>ΔU
(supply - ina)
mV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'measurement data'!$A$3:$A$241</c:f>
              <c:numCache>
                <c:formatCode>General</c:formatCode>
                <c:ptCount val="2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130</c:v>
                </c:pt>
                <c:pt idx="122">
                  <c:v>140</c:v>
                </c:pt>
                <c:pt idx="123">
                  <c:v>150</c:v>
                </c:pt>
                <c:pt idx="124">
                  <c:v>160</c:v>
                </c:pt>
                <c:pt idx="125">
                  <c:v>170</c:v>
                </c:pt>
                <c:pt idx="126">
                  <c:v>180</c:v>
                </c:pt>
                <c:pt idx="127">
                  <c:v>190</c:v>
                </c:pt>
                <c:pt idx="128">
                  <c:v>200</c:v>
                </c:pt>
                <c:pt idx="129">
                  <c:v>210</c:v>
                </c:pt>
                <c:pt idx="130">
                  <c:v>220</c:v>
                </c:pt>
                <c:pt idx="131">
                  <c:v>230</c:v>
                </c:pt>
                <c:pt idx="132">
                  <c:v>240</c:v>
                </c:pt>
                <c:pt idx="133">
                  <c:v>250</c:v>
                </c:pt>
                <c:pt idx="134">
                  <c:v>260</c:v>
                </c:pt>
                <c:pt idx="135">
                  <c:v>270</c:v>
                </c:pt>
                <c:pt idx="136">
                  <c:v>280</c:v>
                </c:pt>
                <c:pt idx="137">
                  <c:v>290</c:v>
                </c:pt>
                <c:pt idx="138">
                  <c:v>300</c:v>
                </c:pt>
                <c:pt idx="139">
                  <c:v>310</c:v>
                </c:pt>
                <c:pt idx="140">
                  <c:v>320</c:v>
                </c:pt>
                <c:pt idx="141">
                  <c:v>330</c:v>
                </c:pt>
                <c:pt idx="142">
                  <c:v>340</c:v>
                </c:pt>
                <c:pt idx="143">
                  <c:v>350</c:v>
                </c:pt>
                <c:pt idx="144">
                  <c:v>360</c:v>
                </c:pt>
                <c:pt idx="145">
                  <c:v>370</c:v>
                </c:pt>
                <c:pt idx="146">
                  <c:v>380</c:v>
                </c:pt>
                <c:pt idx="147">
                  <c:v>390</c:v>
                </c:pt>
                <c:pt idx="148">
                  <c:v>400</c:v>
                </c:pt>
                <c:pt idx="149">
                  <c:v>410</c:v>
                </c:pt>
                <c:pt idx="150">
                  <c:v>420</c:v>
                </c:pt>
                <c:pt idx="151">
                  <c:v>430</c:v>
                </c:pt>
                <c:pt idx="152">
                  <c:v>440</c:v>
                </c:pt>
                <c:pt idx="153">
                  <c:v>450</c:v>
                </c:pt>
                <c:pt idx="154">
                  <c:v>460</c:v>
                </c:pt>
                <c:pt idx="155">
                  <c:v>470</c:v>
                </c:pt>
                <c:pt idx="156">
                  <c:v>480</c:v>
                </c:pt>
                <c:pt idx="157">
                  <c:v>490</c:v>
                </c:pt>
                <c:pt idx="158">
                  <c:v>500</c:v>
                </c:pt>
                <c:pt idx="159">
                  <c:v>510</c:v>
                </c:pt>
                <c:pt idx="160">
                  <c:v>520</c:v>
                </c:pt>
                <c:pt idx="161">
                  <c:v>530</c:v>
                </c:pt>
                <c:pt idx="162">
                  <c:v>540</c:v>
                </c:pt>
                <c:pt idx="163">
                  <c:v>550</c:v>
                </c:pt>
                <c:pt idx="164">
                  <c:v>560</c:v>
                </c:pt>
                <c:pt idx="165">
                  <c:v>570</c:v>
                </c:pt>
                <c:pt idx="166">
                  <c:v>580</c:v>
                </c:pt>
                <c:pt idx="167">
                  <c:v>581</c:v>
                </c:pt>
                <c:pt idx="168">
                  <c:v>582</c:v>
                </c:pt>
                <c:pt idx="169">
                  <c:v>583</c:v>
                </c:pt>
                <c:pt idx="170">
                  <c:v>584</c:v>
                </c:pt>
                <c:pt idx="171">
                  <c:v>585</c:v>
                </c:pt>
                <c:pt idx="172">
                  <c:v>586</c:v>
                </c:pt>
                <c:pt idx="173">
                  <c:v>587</c:v>
                </c:pt>
                <c:pt idx="174">
                  <c:v>588</c:v>
                </c:pt>
                <c:pt idx="175">
                  <c:v>589</c:v>
                </c:pt>
                <c:pt idx="176">
                  <c:v>590</c:v>
                </c:pt>
                <c:pt idx="177">
                  <c:v>590</c:v>
                </c:pt>
                <c:pt idx="178">
                  <c:v>591</c:v>
                </c:pt>
                <c:pt idx="179">
                  <c:v>592</c:v>
                </c:pt>
                <c:pt idx="180">
                  <c:v>593</c:v>
                </c:pt>
                <c:pt idx="181">
                  <c:v>594</c:v>
                </c:pt>
                <c:pt idx="182">
                  <c:v>595</c:v>
                </c:pt>
                <c:pt idx="183">
                  <c:v>596</c:v>
                </c:pt>
                <c:pt idx="184">
                  <c:v>597</c:v>
                </c:pt>
                <c:pt idx="185">
                  <c:v>598</c:v>
                </c:pt>
                <c:pt idx="186">
                  <c:v>599</c:v>
                </c:pt>
                <c:pt idx="187">
                  <c:v>600</c:v>
                </c:pt>
                <c:pt idx="188">
                  <c:v>601</c:v>
                </c:pt>
                <c:pt idx="189">
                  <c:v>602</c:v>
                </c:pt>
                <c:pt idx="190">
                  <c:v>603</c:v>
                </c:pt>
                <c:pt idx="191">
                  <c:v>604</c:v>
                </c:pt>
                <c:pt idx="192">
                  <c:v>605</c:v>
                </c:pt>
                <c:pt idx="193">
                  <c:v>606</c:v>
                </c:pt>
                <c:pt idx="194">
                  <c:v>607</c:v>
                </c:pt>
                <c:pt idx="195">
                  <c:v>608</c:v>
                </c:pt>
                <c:pt idx="196">
                  <c:v>609</c:v>
                </c:pt>
                <c:pt idx="197">
                  <c:v>610</c:v>
                </c:pt>
                <c:pt idx="198">
                  <c:v>611</c:v>
                </c:pt>
                <c:pt idx="199">
                  <c:v>612</c:v>
                </c:pt>
                <c:pt idx="200">
                  <c:v>613</c:v>
                </c:pt>
                <c:pt idx="201">
                  <c:v>614</c:v>
                </c:pt>
                <c:pt idx="202">
                  <c:v>615</c:v>
                </c:pt>
                <c:pt idx="203">
                  <c:v>616</c:v>
                </c:pt>
                <c:pt idx="204">
                  <c:v>617</c:v>
                </c:pt>
                <c:pt idx="205">
                  <c:v>618</c:v>
                </c:pt>
                <c:pt idx="206">
                  <c:v>619</c:v>
                </c:pt>
                <c:pt idx="207">
                  <c:v>620</c:v>
                </c:pt>
                <c:pt idx="208">
                  <c:v>621</c:v>
                </c:pt>
                <c:pt idx="209">
                  <c:v>622</c:v>
                </c:pt>
                <c:pt idx="210">
                  <c:v>623</c:v>
                </c:pt>
                <c:pt idx="211">
                  <c:v>624</c:v>
                </c:pt>
                <c:pt idx="212">
                  <c:v>625</c:v>
                </c:pt>
                <c:pt idx="213">
                  <c:v>626</c:v>
                </c:pt>
                <c:pt idx="214">
                  <c:v>627</c:v>
                </c:pt>
                <c:pt idx="215">
                  <c:v>628</c:v>
                </c:pt>
                <c:pt idx="216">
                  <c:v>629</c:v>
                </c:pt>
                <c:pt idx="217">
                  <c:v>630</c:v>
                </c:pt>
                <c:pt idx="218">
                  <c:v>631</c:v>
                </c:pt>
                <c:pt idx="219">
                  <c:v>632</c:v>
                </c:pt>
                <c:pt idx="220">
                  <c:v>633</c:v>
                </c:pt>
                <c:pt idx="221">
                  <c:v>634</c:v>
                </c:pt>
                <c:pt idx="222">
                  <c:v>635</c:v>
                </c:pt>
                <c:pt idx="223">
                  <c:v>636</c:v>
                </c:pt>
                <c:pt idx="224">
                  <c:v>637</c:v>
                </c:pt>
                <c:pt idx="225">
                  <c:v>638</c:v>
                </c:pt>
                <c:pt idx="226">
                  <c:v>639</c:v>
                </c:pt>
                <c:pt idx="227">
                  <c:v>640</c:v>
                </c:pt>
                <c:pt idx="228">
                  <c:v>640</c:v>
                </c:pt>
                <c:pt idx="229">
                  <c:v>641</c:v>
                </c:pt>
                <c:pt idx="230">
                  <c:v>642</c:v>
                </c:pt>
                <c:pt idx="231">
                  <c:v>643</c:v>
                </c:pt>
                <c:pt idx="232">
                  <c:v>644</c:v>
                </c:pt>
                <c:pt idx="233">
                  <c:v>645</c:v>
                </c:pt>
                <c:pt idx="234">
                  <c:v>646</c:v>
                </c:pt>
                <c:pt idx="235">
                  <c:v>647</c:v>
                </c:pt>
                <c:pt idx="236">
                  <c:v>648</c:v>
                </c:pt>
                <c:pt idx="237">
                  <c:v>649</c:v>
                </c:pt>
                <c:pt idx="238">
                  <c:v>650</c:v>
                </c:pt>
              </c:numCache>
            </c:numRef>
          </c:xVal>
          <c:yVal>
            <c:numRef>
              <c:f>'measurement data'!$P$3:$P$241</c:f>
              <c:numCache>
                <c:formatCode>0</c:formatCode>
                <c:ptCount val="239"/>
                <c:pt idx="0">
                  <c:v>-9</c:v>
                </c:pt>
                <c:pt idx="1">
                  <c:v>-9</c:v>
                </c:pt>
                <c:pt idx="2">
                  <c:v>-5</c:v>
                </c:pt>
                <c:pt idx="3">
                  <c:v>-5</c:v>
                </c:pt>
                <c:pt idx="4">
                  <c:v>-9</c:v>
                </c:pt>
                <c:pt idx="5">
                  <c:v>-9</c:v>
                </c:pt>
                <c:pt idx="6">
                  <c:v>-5</c:v>
                </c:pt>
                <c:pt idx="7">
                  <c:v>-9</c:v>
                </c:pt>
                <c:pt idx="8">
                  <c:v>-5</c:v>
                </c:pt>
                <c:pt idx="9">
                  <c:v>-9</c:v>
                </c:pt>
                <c:pt idx="10">
                  <c:v>-5</c:v>
                </c:pt>
                <c:pt idx="11">
                  <c:v>-5</c:v>
                </c:pt>
                <c:pt idx="12">
                  <c:v>-9</c:v>
                </c:pt>
                <c:pt idx="13">
                  <c:v>-9</c:v>
                </c:pt>
                <c:pt idx="14">
                  <c:v>-9</c:v>
                </c:pt>
                <c:pt idx="15">
                  <c:v>-5</c:v>
                </c:pt>
                <c:pt idx="16">
                  <c:v>-5</c:v>
                </c:pt>
                <c:pt idx="17">
                  <c:v>-5</c:v>
                </c:pt>
                <c:pt idx="18">
                  <c:v>-9</c:v>
                </c:pt>
                <c:pt idx="19">
                  <c:v>-5</c:v>
                </c:pt>
                <c:pt idx="20">
                  <c:v>-5</c:v>
                </c:pt>
                <c:pt idx="21">
                  <c:v>-9</c:v>
                </c:pt>
                <c:pt idx="22">
                  <c:v>-9</c:v>
                </c:pt>
                <c:pt idx="23">
                  <c:v>-9</c:v>
                </c:pt>
                <c:pt idx="24">
                  <c:v>-5</c:v>
                </c:pt>
                <c:pt idx="25">
                  <c:v>-9</c:v>
                </c:pt>
                <c:pt idx="26">
                  <c:v>-5</c:v>
                </c:pt>
                <c:pt idx="27">
                  <c:v>-5</c:v>
                </c:pt>
                <c:pt idx="28">
                  <c:v>-5</c:v>
                </c:pt>
                <c:pt idx="29">
                  <c:v>-5</c:v>
                </c:pt>
                <c:pt idx="30">
                  <c:v>-5</c:v>
                </c:pt>
                <c:pt idx="31">
                  <c:v>-1</c:v>
                </c:pt>
                <c:pt idx="32">
                  <c:v>-5</c:v>
                </c:pt>
                <c:pt idx="33">
                  <c:v>-5</c:v>
                </c:pt>
                <c:pt idx="34">
                  <c:v>-1</c:v>
                </c:pt>
                <c:pt idx="35">
                  <c:v>-5</c:v>
                </c:pt>
                <c:pt idx="36">
                  <c:v>-1</c:v>
                </c:pt>
                <c:pt idx="37">
                  <c:v>-5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11</c:v>
                </c:pt>
                <c:pt idx="58">
                  <c:v>11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11</c:v>
                </c:pt>
                <c:pt idx="64">
                  <c:v>11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23</c:v>
                </c:pt>
                <c:pt idx="77">
                  <c:v>23</c:v>
                </c:pt>
                <c:pt idx="78">
                  <c:v>23</c:v>
                </c:pt>
                <c:pt idx="79">
                  <c:v>23</c:v>
                </c:pt>
                <c:pt idx="80">
                  <c:v>23</c:v>
                </c:pt>
                <c:pt idx="81">
                  <c:v>23</c:v>
                </c:pt>
                <c:pt idx="82">
                  <c:v>27</c:v>
                </c:pt>
                <c:pt idx="83">
                  <c:v>27</c:v>
                </c:pt>
                <c:pt idx="84">
                  <c:v>27</c:v>
                </c:pt>
                <c:pt idx="85">
                  <c:v>27</c:v>
                </c:pt>
                <c:pt idx="86">
                  <c:v>27</c:v>
                </c:pt>
                <c:pt idx="87">
                  <c:v>27</c:v>
                </c:pt>
                <c:pt idx="88">
                  <c:v>31</c:v>
                </c:pt>
                <c:pt idx="89">
                  <c:v>31</c:v>
                </c:pt>
                <c:pt idx="90">
                  <c:v>31</c:v>
                </c:pt>
                <c:pt idx="91">
                  <c:v>31</c:v>
                </c:pt>
                <c:pt idx="92">
                  <c:v>31</c:v>
                </c:pt>
                <c:pt idx="93">
                  <c:v>31</c:v>
                </c:pt>
                <c:pt idx="94">
                  <c:v>35</c:v>
                </c:pt>
                <c:pt idx="95">
                  <c:v>35</c:v>
                </c:pt>
                <c:pt idx="96">
                  <c:v>35</c:v>
                </c:pt>
                <c:pt idx="97">
                  <c:v>35</c:v>
                </c:pt>
                <c:pt idx="98">
                  <c:v>35</c:v>
                </c:pt>
                <c:pt idx="99">
                  <c:v>35</c:v>
                </c:pt>
                <c:pt idx="100">
                  <c:v>39</c:v>
                </c:pt>
                <c:pt idx="101">
                  <c:v>39</c:v>
                </c:pt>
                <c:pt idx="102">
                  <c:v>39</c:v>
                </c:pt>
                <c:pt idx="103">
                  <c:v>39</c:v>
                </c:pt>
                <c:pt idx="104">
                  <c:v>39</c:v>
                </c:pt>
                <c:pt idx="105">
                  <c:v>39</c:v>
                </c:pt>
                <c:pt idx="106">
                  <c:v>39</c:v>
                </c:pt>
                <c:pt idx="107">
                  <c:v>43</c:v>
                </c:pt>
                <c:pt idx="108">
                  <c:v>39</c:v>
                </c:pt>
                <c:pt idx="109">
                  <c:v>43</c:v>
                </c:pt>
                <c:pt idx="110">
                  <c:v>43</c:v>
                </c:pt>
                <c:pt idx="111">
                  <c:v>43</c:v>
                </c:pt>
                <c:pt idx="112">
                  <c:v>43</c:v>
                </c:pt>
                <c:pt idx="113">
                  <c:v>43</c:v>
                </c:pt>
                <c:pt idx="114">
                  <c:v>43</c:v>
                </c:pt>
                <c:pt idx="115">
                  <c:v>43</c:v>
                </c:pt>
                <c:pt idx="116">
                  <c:v>47</c:v>
                </c:pt>
                <c:pt idx="117">
                  <c:v>47</c:v>
                </c:pt>
                <c:pt idx="118">
                  <c:v>47</c:v>
                </c:pt>
                <c:pt idx="119">
                  <c:v>47</c:v>
                </c:pt>
                <c:pt idx="120">
                  <c:v>47</c:v>
                </c:pt>
                <c:pt idx="121">
                  <c:v>51</c:v>
                </c:pt>
                <c:pt idx="122">
                  <c:v>55</c:v>
                </c:pt>
                <c:pt idx="123">
                  <c:v>59</c:v>
                </c:pt>
                <c:pt idx="124">
                  <c:v>63</c:v>
                </c:pt>
                <c:pt idx="125">
                  <c:v>71</c:v>
                </c:pt>
                <c:pt idx="126">
                  <c:v>75</c:v>
                </c:pt>
                <c:pt idx="127">
                  <c:v>75</c:v>
                </c:pt>
                <c:pt idx="128">
                  <c:v>79</c:v>
                </c:pt>
                <c:pt idx="129">
                  <c:v>83</c:v>
                </c:pt>
                <c:pt idx="130">
                  <c:v>91</c:v>
                </c:pt>
                <c:pt idx="131">
                  <c:v>91</c:v>
                </c:pt>
                <c:pt idx="132">
                  <c:v>99</c:v>
                </c:pt>
                <c:pt idx="133">
                  <c:v>103</c:v>
                </c:pt>
                <c:pt idx="134">
                  <c:v>103</c:v>
                </c:pt>
                <c:pt idx="135">
                  <c:v>111</c:v>
                </c:pt>
                <c:pt idx="136">
                  <c:v>115</c:v>
                </c:pt>
                <c:pt idx="137">
                  <c:v>115</c:v>
                </c:pt>
                <c:pt idx="138">
                  <c:v>123</c:v>
                </c:pt>
                <c:pt idx="139">
                  <c:v>123</c:v>
                </c:pt>
                <c:pt idx="140">
                  <c:v>127</c:v>
                </c:pt>
                <c:pt idx="141">
                  <c:v>131</c:v>
                </c:pt>
                <c:pt idx="142">
                  <c:v>139</c:v>
                </c:pt>
                <c:pt idx="143">
                  <c:v>143</c:v>
                </c:pt>
                <c:pt idx="144">
                  <c:v>143</c:v>
                </c:pt>
                <c:pt idx="145">
                  <c:v>151</c:v>
                </c:pt>
                <c:pt idx="146">
                  <c:v>151</c:v>
                </c:pt>
                <c:pt idx="147">
                  <c:v>155</c:v>
                </c:pt>
                <c:pt idx="148">
                  <c:v>159</c:v>
                </c:pt>
                <c:pt idx="149">
                  <c:v>163</c:v>
                </c:pt>
                <c:pt idx="150">
                  <c:v>167</c:v>
                </c:pt>
                <c:pt idx="151">
                  <c:v>171</c:v>
                </c:pt>
                <c:pt idx="152">
                  <c:v>175</c:v>
                </c:pt>
                <c:pt idx="153">
                  <c:v>179</c:v>
                </c:pt>
                <c:pt idx="154">
                  <c:v>183</c:v>
                </c:pt>
                <c:pt idx="155">
                  <c:v>187</c:v>
                </c:pt>
                <c:pt idx="156">
                  <c:v>187</c:v>
                </c:pt>
                <c:pt idx="157">
                  <c:v>191</c:v>
                </c:pt>
                <c:pt idx="158">
                  <c:v>199</c:v>
                </c:pt>
                <c:pt idx="159">
                  <c:v>203</c:v>
                </c:pt>
                <c:pt idx="160">
                  <c:v>203</c:v>
                </c:pt>
                <c:pt idx="161">
                  <c:v>211</c:v>
                </c:pt>
                <c:pt idx="162">
                  <c:v>215</c:v>
                </c:pt>
                <c:pt idx="163">
                  <c:v>219</c:v>
                </c:pt>
                <c:pt idx="164">
                  <c:v>223</c:v>
                </c:pt>
                <c:pt idx="165">
                  <c:v>227</c:v>
                </c:pt>
                <c:pt idx="166">
                  <c:v>231</c:v>
                </c:pt>
                <c:pt idx="167">
                  <c:v>235</c:v>
                </c:pt>
                <c:pt idx="168">
                  <c:v>231</c:v>
                </c:pt>
                <c:pt idx="169">
                  <c:v>231</c:v>
                </c:pt>
                <c:pt idx="170">
                  <c:v>235</c:v>
                </c:pt>
                <c:pt idx="171">
                  <c:v>235</c:v>
                </c:pt>
                <c:pt idx="172">
                  <c:v>235</c:v>
                </c:pt>
                <c:pt idx="173">
                  <c:v>235</c:v>
                </c:pt>
                <c:pt idx="174">
                  <c:v>235</c:v>
                </c:pt>
                <c:pt idx="175">
                  <c:v>235</c:v>
                </c:pt>
                <c:pt idx="176">
                  <c:v>239</c:v>
                </c:pt>
                <c:pt idx="177">
                  <c:v>235</c:v>
                </c:pt>
                <c:pt idx="178">
                  <c:v>235</c:v>
                </c:pt>
                <c:pt idx="179">
                  <c:v>239</c:v>
                </c:pt>
                <c:pt idx="180">
                  <c:v>239</c:v>
                </c:pt>
                <c:pt idx="181">
                  <c:v>239</c:v>
                </c:pt>
                <c:pt idx="182">
                  <c:v>239</c:v>
                </c:pt>
                <c:pt idx="183">
                  <c:v>239</c:v>
                </c:pt>
                <c:pt idx="184">
                  <c:v>239</c:v>
                </c:pt>
                <c:pt idx="185">
                  <c:v>239</c:v>
                </c:pt>
                <c:pt idx="186">
                  <c:v>239</c:v>
                </c:pt>
                <c:pt idx="187">
                  <c:v>239</c:v>
                </c:pt>
                <c:pt idx="188">
                  <c:v>243</c:v>
                </c:pt>
                <c:pt idx="189">
                  <c:v>243</c:v>
                </c:pt>
                <c:pt idx="190">
                  <c:v>243</c:v>
                </c:pt>
                <c:pt idx="191">
                  <c:v>243</c:v>
                </c:pt>
                <c:pt idx="192">
                  <c:v>243</c:v>
                </c:pt>
                <c:pt idx="193">
                  <c:v>243</c:v>
                </c:pt>
                <c:pt idx="194">
                  <c:v>247</c:v>
                </c:pt>
                <c:pt idx="195">
                  <c:v>243</c:v>
                </c:pt>
                <c:pt idx="196">
                  <c:v>247</c:v>
                </c:pt>
                <c:pt idx="197">
                  <c:v>247</c:v>
                </c:pt>
                <c:pt idx="198">
                  <c:v>247</c:v>
                </c:pt>
                <c:pt idx="199">
                  <c:v>247</c:v>
                </c:pt>
                <c:pt idx="200">
                  <c:v>247</c:v>
                </c:pt>
                <c:pt idx="201">
                  <c:v>247</c:v>
                </c:pt>
                <c:pt idx="202">
                  <c:v>251</c:v>
                </c:pt>
                <c:pt idx="203">
                  <c:v>247</c:v>
                </c:pt>
                <c:pt idx="204">
                  <c:v>247</c:v>
                </c:pt>
                <c:pt idx="205">
                  <c:v>247</c:v>
                </c:pt>
                <c:pt idx="206">
                  <c:v>251</c:v>
                </c:pt>
                <c:pt idx="207">
                  <c:v>251</c:v>
                </c:pt>
                <c:pt idx="208">
                  <c:v>251</c:v>
                </c:pt>
                <c:pt idx="209">
                  <c:v>251</c:v>
                </c:pt>
                <c:pt idx="210">
                  <c:v>251</c:v>
                </c:pt>
                <c:pt idx="211">
                  <c:v>251</c:v>
                </c:pt>
                <c:pt idx="212">
                  <c:v>251</c:v>
                </c:pt>
                <c:pt idx="213">
                  <c:v>255</c:v>
                </c:pt>
                <c:pt idx="214">
                  <c:v>255</c:v>
                </c:pt>
                <c:pt idx="215">
                  <c:v>255</c:v>
                </c:pt>
                <c:pt idx="216">
                  <c:v>251</c:v>
                </c:pt>
                <c:pt idx="217">
                  <c:v>255</c:v>
                </c:pt>
                <c:pt idx="218">
                  <c:v>255</c:v>
                </c:pt>
                <c:pt idx="219">
                  <c:v>255</c:v>
                </c:pt>
                <c:pt idx="220">
                  <c:v>255</c:v>
                </c:pt>
                <c:pt idx="221">
                  <c:v>255</c:v>
                </c:pt>
                <c:pt idx="222">
                  <c:v>255</c:v>
                </c:pt>
                <c:pt idx="223">
                  <c:v>259</c:v>
                </c:pt>
                <c:pt idx="224">
                  <c:v>259</c:v>
                </c:pt>
                <c:pt idx="225">
                  <c:v>259</c:v>
                </c:pt>
                <c:pt idx="226">
                  <c:v>259</c:v>
                </c:pt>
                <c:pt idx="227">
                  <c:v>259</c:v>
                </c:pt>
                <c:pt idx="228">
                  <c:v>259</c:v>
                </c:pt>
                <c:pt idx="229">
                  <c:v>259</c:v>
                </c:pt>
                <c:pt idx="230">
                  <c:v>259</c:v>
                </c:pt>
                <c:pt idx="231">
                  <c:v>259</c:v>
                </c:pt>
                <c:pt idx="232">
                  <c:v>259</c:v>
                </c:pt>
                <c:pt idx="233">
                  <c:v>259</c:v>
                </c:pt>
                <c:pt idx="234">
                  <c:v>259</c:v>
                </c:pt>
                <c:pt idx="235">
                  <c:v>259</c:v>
                </c:pt>
                <c:pt idx="236">
                  <c:v>259</c:v>
                </c:pt>
                <c:pt idx="237">
                  <c:v>259</c:v>
                </c:pt>
                <c:pt idx="238">
                  <c:v>259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04-440F-9AF0-61056EFE8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321951"/>
        <c:axId val="1150322431"/>
      </c:scatterChart>
      <c:valAx>
        <c:axId val="1150321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322431"/>
        <c:crosses val="autoZero"/>
        <c:crossBetween val="midCat"/>
      </c:valAx>
      <c:valAx>
        <c:axId val="115032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321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Δ</a:t>
            </a:r>
            <a:r>
              <a:rPr lang="en-US"/>
              <a:t>I(supply - ina)/mV over n</a:t>
            </a:r>
          </a:p>
        </c:rich>
      </c:tx>
      <c:layout>
        <c:manualLayout>
          <c:xMode val="edge"/>
          <c:yMode val="edge"/>
          <c:x val="7.4951224846894121E-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'measurement data'!$Q$2</c:f>
              <c:strCache>
                <c:ptCount val="1"/>
                <c:pt idx="0">
                  <c:v>ΔI
(supply - ina)
mA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'measurement data'!$A$3:$A$241</c:f>
              <c:numCache>
                <c:formatCode>General</c:formatCode>
                <c:ptCount val="2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130</c:v>
                </c:pt>
                <c:pt idx="122">
                  <c:v>140</c:v>
                </c:pt>
                <c:pt idx="123">
                  <c:v>150</c:v>
                </c:pt>
                <c:pt idx="124">
                  <c:v>160</c:v>
                </c:pt>
                <c:pt idx="125">
                  <c:v>170</c:v>
                </c:pt>
                <c:pt idx="126">
                  <c:v>180</c:v>
                </c:pt>
                <c:pt idx="127">
                  <c:v>190</c:v>
                </c:pt>
                <c:pt idx="128">
                  <c:v>200</c:v>
                </c:pt>
                <c:pt idx="129">
                  <c:v>210</c:v>
                </c:pt>
                <c:pt idx="130">
                  <c:v>220</c:v>
                </c:pt>
                <c:pt idx="131">
                  <c:v>230</c:v>
                </c:pt>
                <c:pt idx="132">
                  <c:v>240</c:v>
                </c:pt>
                <c:pt idx="133">
                  <c:v>250</c:v>
                </c:pt>
                <c:pt idx="134">
                  <c:v>260</c:v>
                </c:pt>
                <c:pt idx="135">
                  <c:v>270</c:v>
                </c:pt>
                <c:pt idx="136">
                  <c:v>280</c:v>
                </c:pt>
                <c:pt idx="137">
                  <c:v>290</c:v>
                </c:pt>
                <c:pt idx="138">
                  <c:v>300</c:v>
                </c:pt>
                <c:pt idx="139">
                  <c:v>310</c:v>
                </c:pt>
                <c:pt idx="140">
                  <c:v>320</c:v>
                </c:pt>
                <c:pt idx="141">
                  <c:v>330</c:v>
                </c:pt>
                <c:pt idx="142">
                  <c:v>340</c:v>
                </c:pt>
                <c:pt idx="143">
                  <c:v>350</c:v>
                </c:pt>
                <c:pt idx="144">
                  <c:v>360</c:v>
                </c:pt>
                <c:pt idx="145">
                  <c:v>370</c:v>
                </c:pt>
                <c:pt idx="146">
                  <c:v>380</c:v>
                </c:pt>
                <c:pt idx="147">
                  <c:v>390</c:v>
                </c:pt>
                <c:pt idx="148">
                  <c:v>400</c:v>
                </c:pt>
                <c:pt idx="149">
                  <c:v>410</c:v>
                </c:pt>
                <c:pt idx="150">
                  <c:v>420</c:v>
                </c:pt>
                <c:pt idx="151">
                  <c:v>430</c:v>
                </c:pt>
                <c:pt idx="152">
                  <c:v>440</c:v>
                </c:pt>
                <c:pt idx="153">
                  <c:v>450</c:v>
                </c:pt>
                <c:pt idx="154">
                  <c:v>460</c:v>
                </c:pt>
                <c:pt idx="155">
                  <c:v>470</c:v>
                </c:pt>
                <c:pt idx="156">
                  <c:v>480</c:v>
                </c:pt>
                <c:pt idx="157">
                  <c:v>490</c:v>
                </c:pt>
                <c:pt idx="158">
                  <c:v>500</c:v>
                </c:pt>
                <c:pt idx="159">
                  <c:v>510</c:v>
                </c:pt>
                <c:pt idx="160">
                  <c:v>520</c:v>
                </c:pt>
                <c:pt idx="161">
                  <c:v>530</c:v>
                </c:pt>
                <c:pt idx="162">
                  <c:v>540</c:v>
                </c:pt>
                <c:pt idx="163">
                  <c:v>550</c:v>
                </c:pt>
                <c:pt idx="164">
                  <c:v>560</c:v>
                </c:pt>
                <c:pt idx="165">
                  <c:v>570</c:v>
                </c:pt>
                <c:pt idx="166">
                  <c:v>580</c:v>
                </c:pt>
                <c:pt idx="167">
                  <c:v>581</c:v>
                </c:pt>
                <c:pt idx="168">
                  <c:v>582</c:v>
                </c:pt>
                <c:pt idx="169">
                  <c:v>583</c:v>
                </c:pt>
                <c:pt idx="170">
                  <c:v>584</c:v>
                </c:pt>
                <c:pt idx="171">
                  <c:v>585</c:v>
                </c:pt>
                <c:pt idx="172">
                  <c:v>586</c:v>
                </c:pt>
                <c:pt idx="173">
                  <c:v>587</c:v>
                </c:pt>
                <c:pt idx="174">
                  <c:v>588</c:v>
                </c:pt>
                <c:pt idx="175">
                  <c:v>589</c:v>
                </c:pt>
                <c:pt idx="176">
                  <c:v>590</c:v>
                </c:pt>
                <c:pt idx="177">
                  <c:v>590</c:v>
                </c:pt>
                <c:pt idx="178">
                  <c:v>591</c:v>
                </c:pt>
                <c:pt idx="179">
                  <c:v>592</c:v>
                </c:pt>
                <c:pt idx="180">
                  <c:v>593</c:v>
                </c:pt>
                <c:pt idx="181">
                  <c:v>594</c:v>
                </c:pt>
                <c:pt idx="182">
                  <c:v>595</c:v>
                </c:pt>
                <c:pt idx="183">
                  <c:v>596</c:v>
                </c:pt>
                <c:pt idx="184">
                  <c:v>597</c:v>
                </c:pt>
                <c:pt idx="185">
                  <c:v>598</c:v>
                </c:pt>
                <c:pt idx="186">
                  <c:v>599</c:v>
                </c:pt>
                <c:pt idx="187">
                  <c:v>600</c:v>
                </c:pt>
                <c:pt idx="188">
                  <c:v>601</c:v>
                </c:pt>
                <c:pt idx="189">
                  <c:v>602</c:v>
                </c:pt>
                <c:pt idx="190">
                  <c:v>603</c:v>
                </c:pt>
                <c:pt idx="191">
                  <c:v>604</c:v>
                </c:pt>
                <c:pt idx="192">
                  <c:v>605</c:v>
                </c:pt>
                <c:pt idx="193">
                  <c:v>606</c:v>
                </c:pt>
                <c:pt idx="194">
                  <c:v>607</c:v>
                </c:pt>
                <c:pt idx="195">
                  <c:v>608</c:v>
                </c:pt>
                <c:pt idx="196">
                  <c:v>609</c:v>
                </c:pt>
                <c:pt idx="197">
                  <c:v>610</c:v>
                </c:pt>
                <c:pt idx="198">
                  <c:v>611</c:v>
                </c:pt>
                <c:pt idx="199">
                  <c:v>612</c:v>
                </c:pt>
                <c:pt idx="200">
                  <c:v>613</c:v>
                </c:pt>
                <c:pt idx="201">
                  <c:v>614</c:v>
                </c:pt>
                <c:pt idx="202">
                  <c:v>615</c:v>
                </c:pt>
                <c:pt idx="203">
                  <c:v>616</c:v>
                </c:pt>
                <c:pt idx="204">
                  <c:v>617</c:v>
                </c:pt>
                <c:pt idx="205">
                  <c:v>618</c:v>
                </c:pt>
                <c:pt idx="206">
                  <c:v>619</c:v>
                </c:pt>
                <c:pt idx="207">
                  <c:v>620</c:v>
                </c:pt>
                <c:pt idx="208">
                  <c:v>621</c:v>
                </c:pt>
                <c:pt idx="209">
                  <c:v>622</c:v>
                </c:pt>
                <c:pt idx="210">
                  <c:v>623</c:v>
                </c:pt>
                <c:pt idx="211">
                  <c:v>624</c:v>
                </c:pt>
                <c:pt idx="212">
                  <c:v>625</c:v>
                </c:pt>
                <c:pt idx="213">
                  <c:v>626</c:v>
                </c:pt>
                <c:pt idx="214">
                  <c:v>627</c:v>
                </c:pt>
                <c:pt idx="215">
                  <c:v>628</c:v>
                </c:pt>
                <c:pt idx="216">
                  <c:v>629</c:v>
                </c:pt>
                <c:pt idx="217">
                  <c:v>630</c:v>
                </c:pt>
                <c:pt idx="218">
                  <c:v>631</c:v>
                </c:pt>
                <c:pt idx="219">
                  <c:v>632</c:v>
                </c:pt>
                <c:pt idx="220">
                  <c:v>633</c:v>
                </c:pt>
                <c:pt idx="221">
                  <c:v>634</c:v>
                </c:pt>
                <c:pt idx="222">
                  <c:v>635</c:v>
                </c:pt>
                <c:pt idx="223">
                  <c:v>636</c:v>
                </c:pt>
                <c:pt idx="224">
                  <c:v>637</c:v>
                </c:pt>
                <c:pt idx="225">
                  <c:v>638</c:v>
                </c:pt>
                <c:pt idx="226">
                  <c:v>639</c:v>
                </c:pt>
                <c:pt idx="227">
                  <c:v>640</c:v>
                </c:pt>
                <c:pt idx="228">
                  <c:v>640</c:v>
                </c:pt>
                <c:pt idx="229">
                  <c:v>641</c:v>
                </c:pt>
                <c:pt idx="230">
                  <c:v>642</c:v>
                </c:pt>
                <c:pt idx="231">
                  <c:v>643</c:v>
                </c:pt>
                <c:pt idx="232">
                  <c:v>644</c:v>
                </c:pt>
                <c:pt idx="233">
                  <c:v>645</c:v>
                </c:pt>
                <c:pt idx="234">
                  <c:v>646</c:v>
                </c:pt>
                <c:pt idx="235">
                  <c:v>647</c:v>
                </c:pt>
                <c:pt idx="236">
                  <c:v>648</c:v>
                </c:pt>
                <c:pt idx="237">
                  <c:v>649</c:v>
                </c:pt>
                <c:pt idx="238">
                  <c:v>650</c:v>
                </c:pt>
              </c:numCache>
            </c:numRef>
          </c:xVal>
          <c:yVal>
            <c:numRef>
              <c:f>'measurement data'!$Q$3:$Q$241</c:f>
              <c:numCache>
                <c:formatCode>0</c:formatCode>
                <c:ptCount val="239"/>
                <c:pt idx="0">
                  <c:v>0.99999990000000005</c:v>
                </c:pt>
                <c:pt idx="1">
                  <c:v>0.99999990000000005</c:v>
                </c:pt>
                <c:pt idx="2">
                  <c:v>0.99999990000000005</c:v>
                </c:pt>
                <c:pt idx="3">
                  <c:v>0.99999990000000005</c:v>
                </c:pt>
                <c:pt idx="4">
                  <c:v>0.99999990000000005</c:v>
                </c:pt>
                <c:pt idx="5">
                  <c:v>0.99999990000000005</c:v>
                </c:pt>
                <c:pt idx="6">
                  <c:v>0.99999990000000005</c:v>
                </c:pt>
                <c:pt idx="7">
                  <c:v>0.99999990000000005</c:v>
                </c:pt>
                <c:pt idx="8">
                  <c:v>0.99999990000000005</c:v>
                </c:pt>
                <c:pt idx="9">
                  <c:v>0.99999990000000005</c:v>
                </c:pt>
                <c:pt idx="10">
                  <c:v>0.99999990000000005</c:v>
                </c:pt>
                <c:pt idx="11">
                  <c:v>0.99999990000000005</c:v>
                </c:pt>
                <c:pt idx="12">
                  <c:v>0.99999990000000005</c:v>
                </c:pt>
                <c:pt idx="13">
                  <c:v>0.99999990000000005</c:v>
                </c:pt>
                <c:pt idx="14">
                  <c:v>0.99999990000000005</c:v>
                </c:pt>
                <c:pt idx="15">
                  <c:v>0.99999990000000005</c:v>
                </c:pt>
                <c:pt idx="16">
                  <c:v>0.99999990000000005</c:v>
                </c:pt>
                <c:pt idx="17">
                  <c:v>0.99999990000000005</c:v>
                </c:pt>
                <c:pt idx="18">
                  <c:v>0.99999990000000005</c:v>
                </c:pt>
                <c:pt idx="19">
                  <c:v>0.99999990000000005</c:v>
                </c:pt>
                <c:pt idx="20">
                  <c:v>0.99999990000000005</c:v>
                </c:pt>
                <c:pt idx="21">
                  <c:v>0.99999990000000005</c:v>
                </c:pt>
                <c:pt idx="22">
                  <c:v>0.99999990000000005</c:v>
                </c:pt>
                <c:pt idx="23">
                  <c:v>0.99999990000000005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2</c:v>
                </c:pt>
                <c:pt idx="58">
                  <c:v>2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0</c:v>
                </c:pt>
                <c:pt idx="63">
                  <c:v>2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2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2</c:v>
                </c:pt>
                <c:pt idx="83">
                  <c:v>1</c:v>
                </c:pt>
                <c:pt idx="84">
                  <c:v>1</c:v>
                </c:pt>
                <c:pt idx="85">
                  <c:v>2</c:v>
                </c:pt>
                <c:pt idx="86">
                  <c:v>2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1</c:v>
                </c:pt>
                <c:pt idx="119">
                  <c:v>2</c:v>
                </c:pt>
                <c:pt idx="120">
                  <c:v>1</c:v>
                </c:pt>
                <c:pt idx="121">
                  <c:v>2</c:v>
                </c:pt>
                <c:pt idx="122">
                  <c:v>2</c:v>
                </c:pt>
                <c:pt idx="123">
                  <c:v>1</c:v>
                </c:pt>
                <c:pt idx="124">
                  <c:v>2</c:v>
                </c:pt>
                <c:pt idx="125">
                  <c:v>1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2</c:v>
                </c:pt>
                <c:pt idx="134">
                  <c:v>1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2</c:v>
                </c:pt>
                <c:pt idx="145">
                  <c:v>1</c:v>
                </c:pt>
                <c:pt idx="146">
                  <c:v>2</c:v>
                </c:pt>
                <c:pt idx="147">
                  <c:v>3</c:v>
                </c:pt>
                <c:pt idx="148">
                  <c:v>1</c:v>
                </c:pt>
                <c:pt idx="149">
                  <c:v>1</c:v>
                </c:pt>
                <c:pt idx="150">
                  <c:v>2</c:v>
                </c:pt>
                <c:pt idx="151">
                  <c:v>1</c:v>
                </c:pt>
                <c:pt idx="152">
                  <c:v>1</c:v>
                </c:pt>
                <c:pt idx="153">
                  <c:v>2</c:v>
                </c:pt>
                <c:pt idx="154">
                  <c:v>1</c:v>
                </c:pt>
                <c:pt idx="155">
                  <c:v>2</c:v>
                </c:pt>
                <c:pt idx="156">
                  <c:v>1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1</c:v>
                </c:pt>
                <c:pt idx="161">
                  <c:v>1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2</c:v>
                </c:pt>
                <c:pt idx="172">
                  <c:v>1</c:v>
                </c:pt>
                <c:pt idx="173">
                  <c:v>1</c:v>
                </c:pt>
                <c:pt idx="174">
                  <c:v>2</c:v>
                </c:pt>
                <c:pt idx="175">
                  <c:v>2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2</c:v>
                </c:pt>
                <c:pt idx="182">
                  <c:v>2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2</c:v>
                </c:pt>
                <c:pt idx="189">
                  <c:v>0</c:v>
                </c:pt>
                <c:pt idx="190">
                  <c:v>1</c:v>
                </c:pt>
                <c:pt idx="191">
                  <c:v>2</c:v>
                </c:pt>
                <c:pt idx="192">
                  <c:v>1</c:v>
                </c:pt>
                <c:pt idx="193">
                  <c:v>1</c:v>
                </c:pt>
                <c:pt idx="194">
                  <c:v>2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2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2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2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2</c:v>
                </c:pt>
                <c:pt idx="230">
                  <c:v>1</c:v>
                </c:pt>
                <c:pt idx="231">
                  <c:v>1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BE-411F-9425-057457DAE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321951"/>
        <c:axId val="1150322431"/>
      </c:scatterChart>
      <c:valAx>
        <c:axId val="1150321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322431"/>
        <c:crosses val="autoZero"/>
        <c:crossBetween val="midCat"/>
      </c:valAx>
      <c:valAx>
        <c:axId val="115032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321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Vgate/mV over n</a:t>
            </a:r>
          </a:p>
        </c:rich>
      </c:tx>
      <c:layout>
        <c:manualLayout>
          <c:xMode val="edge"/>
          <c:yMode val="edge"/>
          <c:x val="0.10475000000000004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'measurement data'!$F$2</c:f>
              <c:strCache>
                <c:ptCount val="1"/>
                <c:pt idx="0">
                  <c:v>Vgate
mV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'measurement data'!$A$3:$A$241</c:f>
              <c:numCache>
                <c:formatCode>General</c:formatCode>
                <c:ptCount val="2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130</c:v>
                </c:pt>
                <c:pt idx="122">
                  <c:v>140</c:v>
                </c:pt>
                <c:pt idx="123">
                  <c:v>150</c:v>
                </c:pt>
                <c:pt idx="124">
                  <c:v>160</c:v>
                </c:pt>
                <c:pt idx="125">
                  <c:v>170</c:v>
                </c:pt>
                <c:pt idx="126">
                  <c:v>180</c:v>
                </c:pt>
                <c:pt idx="127">
                  <c:v>190</c:v>
                </c:pt>
                <c:pt idx="128">
                  <c:v>200</c:v>
                </c:pt>
                <c:pt idx="129">
                  <c:v>210</c:v>
                </c:pt>
                <c:pt idx="130">
                  <c:v>220</c:v>
                </c:pt>
                <c:pt idx="131">
                  <c:v>230</c:v>
                </c:pt>
                <c:pt idx="132">
                  <c:v>240</c:v>
                </c:pt>
                <c:pt idx="133">
                  <c:v>250</c:v>
                </c:pt>
                <c:pt idx="134">
                  <c:v>260</c:v>
                </c:pt>
                <c:pt idx="135">
                  <c:v>270</c:v>
                </c:pt>
                <c:pt idx="136">
                  <c:v>280</c:v>
                </c:pt>
                <c:pt idx="137">
                  <c:v>290</c:v>
                </c:pt>
                <c:pt idx="138">
                  <c:v>300</c:v>
                </c:pt>
                <c:pt idx="139">
                  <c:v>310</c:v>
                </c:pt>
                <c:pt idx="140">
                  <c:v>320</c:v>
                </c:pt>
                <c:pt idx="141">
                  <c:v>330</c:v>
                </c:pt>
                <c:pt idx="142">
                  <c:v>340</c:v>
                </c:pt>
                <c:pt idx="143">
                  <c:v>350</c:v>
                </c:pt>
                <c:pt idx="144">
                  <c:v>360</c:v>
                </c:pt>
                <c:pt idx="145">
                  <c:v>370</c:v>
                </c:pt>
                <c:pt idx="146">
                  <c:v>380</c:v>
                </c:pt>
                <c:pt idx="147">
                  <c:v>390</c:v>
                </c:pt>
                <c:pt idx="148">
                  <c:v>400</c:v>
                </c:pt>
                <c:pt idx="149">
                  <c:v>410</c:v>
                </c:pt>
                <c:pt idx="150">
                  <c:v>420</c:v>
                </c:pt>
                <c:pt idx="151">
                  <c:v>430</c:v>
                </c:pt>
                <c:pt idx="152">
                  <c:v>440</c:v>
                </c:pt>
                <c:pt idx="153">
                  <c:v>450</c:v>
                </c:pt>
                <c:pt idx="154">
                  <c:v>460</c:v>
                </c:pt>
                <c:pt idx="155">
                  <c:v>470</c:v>
                </c:pt>
                <c:pt idx="156">
                  <c:v>480</c:v>
                </c:pt>
                <c:pt idx="157">
                  <c:v>490</c:v>
                </c:pt>
                <c:pt idx="158">
                  <c:v>500</c:v>
                </c:pt>
                <c:pt idx="159">
                  <c:v>510</c:v>
                </c:pt>
                <c:pt idx="160">
                  <c:v>520</c:v>
                </c:pt>
                <c:pt idx="161">
                  <c:v>530</c:v>
                </c:pt>
                <c:pt idx="162">
                  <c:v>540</c:v>
                </c:pt>
                <c:pt idx="163">
                  <c:v>550</c:v>
                </c:pt>
                <c:pt idx="164">
                  <c:v>560</c:v>
                </c:pt>
                <c:pt idx="165">
                  <c:v>570</c:v>
                </c:pt>
                <c:pt idx="166">
                  <c:v>580</c:v>
                </c:pt>
                <c:pt idx="167">
                  <c:v>581</c:v>
                </c:pt>
                <c:pt idx="168">
                  <c:v>582</c:v>
                </c:pt>
                <c:pt idx="169">
                  <c:v>583</c:v>
                </c:pt>
                <c:pt idx="170">
                  <c:v>584</c:v>
                </c:pt>
                <c:pt idx="171">
                  <c:v>585</c:v>
                </c:pt>
                <c:pt idx="172">
                  <c:v>586</c:v>
                </c:pt>
                <c:pt idx="173">
                  <c:v>587</c:v>
                </c:pt>
                <c:pt idx="174">
                  <c:v>588</c:v>
                </c:pt>
                <c:pt idx="175">
                  <c:v>589</c:v>
                </c:pt>
                <c:pt idx="176">
                  <c:v>590</c:v>
                </c:pt>
                <c:pt idx="177">
                  <c:v>590</c:v>
                </c:pt>
                <c:pt idx="178">
                  <c:v>591</c:v>
                </c:pt>
                <c:pt idx="179">
                  <c:v>592</c:v>
                </c:pt>
                <c:pt idx="180">
                  <c:v>593</c:v>
                </c:pt>
                <c:pt idx="181">
                  <c:v>594</c:v>
                </c:pt>
                <c:pt idx="182">
                  <c:v>595</c:v>
                </c:pt>
                <c:pt idx="183">
                  <c:v>596</c:v>
                </c:pt>
                <c:pt idx="184">
                  <c:v>597</c:v>
                </c:pt>
                <c:pt idx="185">
                  <c:v>598</c:v>
                </c:pt>
                <c:pt idx="186">
                  <c:v>599</c:v>
                </c:pt>
                <c:pt idx="187">
                  <c:v>600</c:v>
                </c:pt>
                <c:pt idx="188">
                  <c:v>601</c:v>
                </c:pt>
                <c:pt idx="189">
                  <c:v>602</c:v>
                </c:pt>
                <c:pt idx="190">
                  <c:v>603</c:v>
                </c:pt>
                <c:pt idx="191">
                  <c:v>604</c:v>
                </c:pt>
                <c:pt idx="192">
                  <c:v>605</c:v>
                </c:pt>
                <c:pt idx="193">
                  <c:v>606</c:v>
                </c:pt>
                <c:pt idx="194">
                  <c:v>607</c:v>
                </c:pt>
                <c:pt idx="195">
                  <c:v>608</c:v>
                </c:pt>
                <c:pt idx="196">
                  <c:v>609</c:v>
                </c:pt>
                <c:pt idx="197">
                  <c:v>610</c:v>
                </c:pt>
                <c:pt idx="198">
                  <c:v>611</c:v>
                </c:pt>
                <c:pt idx="199">
                  <c:v>612</c:v>
                </c:pt>
                <c:pt idx="200">
                  <c:v>613</c:v>
                </c:pt>
                <c:pt idx="201">
                  <c:v>614</c:v>
                </c:pt>
                <c:pt idx="202">
                  <c:v>615</c:v>
                </c:pt>
                <c:pt idx="203">
                  <c:v>616</c:v>
                </c:pt>
                <c:pt idx="204">
                  <c:v>617</c:v>
                </c:pt>
                <c:pt idx="205">
                  <c:v>618</c:v>
                </c:pt>
                <c:pt idx="206">
                  <c:v>619</c:v>
                </c:pt>
                <c:pt idx="207">
                  <c:v>620</c:v>
                </c:pt>
                <c:pt idx="208">
                  <c:v>621</c:v>
                </c:pt>
                <c:pt idx="209">
                  <c:v>622</c:v>
                </c:pt>
                <c:pt idx="210">
                  <c:v>623</c:v>
                </c:pt>
                <c:pt idx="211">
                  <c:v>624</c:v>
                </c:pt>
                <c:pt idx="212">
                  <c:v>625</c:v>
                </c:pt>
                <c:pt idx="213">
                  <c:v>626</c:v>
                </c:pt>
                <c:pt idx="214">
                  <c:v>627</c:v>
                </c:pt>
                <c:pt idx="215">
                  <c:v>628</c:v>
                </c:pt>
                <c:pt idx="216">
                  <c:v>629</c:v>
                </c:pt>
                <c:pt idx="217">
                  <c:v>630</c:v>
                </c:pt>
                <c:pt idx="218">
                  <c:v>631</c:v>
                </c:pt>
                <c:pt idx="219">
                  <c:v>632</c:v>
                </c:pt>
                <c:pt idx="220">
                  <c:v>633</c:v>
                </c:pt>
                <c:pt idx="221">
                  <c:v>634</c:v>
                </c:pt>
                <c:pt idx="222">
                  <c:v>635</c:v>
                </c:pt>
                <c:pt idx="223">
                  <c:v>636</c:v>
                </c:pt>
                <c:pt idx="224">
                  <c:v>637</c:v>
                </c:pt>
                <c:pt idx="225">
                  <c:v>638</c:v>
                </c:pt>
                <c:pt idx="226">
                  <c:v>639</c:v>
                </c:pt>
                <c:pt idx="227">
                  <c:v>640</c:v>
                </c:pt>
                <c:pt idx="228">
                  <c:v>640</c:v>
                </c:pt>
                <c:pt idx="229">
                  <c:v>641</c:v>
                </c:pt>
                <c:pt idx="230">
                  <c:v>642</c:v>
                </c:pt>
                <c:pt idx="231">
                  <c:v>643</c:v>
                </c:pt>
                <c:pt idx="232">
                  <c:v>644</c:v>
                </c:pt>
                <c:pt idx="233">
                  <c:v>645</c:v>
                </c:pt>
                <c:pt idx="234">
                  <c:v>646</c:v>
                </c:pt>
                <c:pt idx="235">
                  <c:v>647</c:v>
                </c:pt>
                <c:pt idx="236">
                  <c:v>648</c:v>
                </c:pt>
                <c:pt idx="237">
                  <c:v>649</c:v>
                </c:pt>
                <c:pt idx="238">
                  <c:v>650</c:v>
                </c:pt>
              </c:numCache>
            </c:numRef>
          </c:xVal>
          <c:yVal>
            <c:numRef>
              <c:f>'measurement data'!$F$3:$F$241</c:f>
              <c:numCache>
                <c:formatCode>0.000</c:formatCode>
                <c:ptCount val="2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0.56399999999999995</c:v>
                </c:pt>
                <c:pt idx="24">
                  <c:v>0.69699999999999995</c:v>
                </c:pt>
                <c:pt idx="25">
                  <c:v>0.72799999999999998</c:v>
                </c:pt>
                <c:pt idx="26">
                  <c:v>0.745</c:v>
                </c:pt>
                <c:pt idx="27">
                  <c:v>0.76</c:v>
                </c:pt>
                <c:pt idx="28">
                  <c:v>0.77</c:v>
                </c:pt>
                <c:pt idx="29">
                  <c:v>0.77400000000000002</c:v>
                </c:pt>
                <c:pt idx="30">
                  <c:v>0.752</c:v>
                </c:pt>
                <c:pt idx="31">
                  <c:v>0.72099999999999997</c:v>
                </c:pt>
                <c:pt idx="32">
                  <c:v>0.70899999999999996</c:v>
                </c:pt>
                <c:pt idx="33">
                  <c:v>0.69699999999999995</c:v>
                </c:pt>
                <c:pt idx="34">
                  <c:v>0.69099999999999995</c:v>
                </c:pt>
                <c:pt idx="35">
                  <c:v>0.68700000000000006</c:v>
                </c:pt>
                <c:pt idx="36">
                  <c:v>0.68500000000000005</c:v>
                </c:pt>
                <c:pt idx="37">
                  <c:v>0.68200000000000005</c:v>
                </c:pt>
                <c:pt idx="38">
                  <c:v>0.68200000000000005</c:v>
                </c:pt>
                <c:pt idx="39">
                  <c:v>0.67700000000000005</c:v>
                </c:pt>
                <c:pt idx="40">
                  <c:v>0.68100000000000005</c:v>
                </c:pt>
                <c:pt idx="41">
                  <c:v>0.68100000000000005</c:v>
                </c:pt>
                <c:pt idx="42">
                  <c:v>0.68100000000000005</c:v>
                </c:pt>
                <c:pt idx="43">
                  <c:v>0.68200000000000005</c:v>
                </c:pt>
                <c:pt idx="44">
                  <c:v>0.68300000000000005</c:v>
                </c:pt>
                <c:pt idx="45">
                  <c:v>0.68400000000000005</c:v>
                </c:pt>
                <c:pt idx="46">
                  <c:v>0.68600000000000005</c:v>
                </c:pt>
                <c:pt idx="47">
                  <c:v>0.68700000000000006</c:v>
                </c:pt>
                <c:pt idx="48">
                  <c:v>0.68899999999999995</c:v>
                </c:pt>
                <c:pt idx="49">
                  <c:v>0.69299999999999995</c:v>
                </c:pt>
                <c:pt idx="50">
                  <c:v>0.69799999999999995</c:v>
                </c:pt>
                <c:pt idx="51">
                  <c:v>0.70499999999999996</c:v>
                </c:pt>
                <c:pt idx="52">
                  <c:v>0.71099999999999997</c:v>
                </c:pt>
                <c:pt idx="53">
                  <c:v>0.71799999999999997</c:v>
                </c:pt>
                <c:pt idx="54">
                  <c:v>0.72399999999999998</c:v>
                </c:pt>
                <c:pt idx="55">
                  <c:v>0.73</c:v>
                </c:pt>
                <c:pt idx="56">
                  <c:v>0.73499999999999999</c:v>
                </c:pt>
                <c:pt idx="57">
                  <c:v>0.74099999999999999</c:v>
                </c:pt>
                <c:pt idx="58">
                  <c:v>0.746</c:v>
                </c:pt>
                <c:pt idx="59">
                  <c:v>0.75</c:v>
                </c:pt>
                <c:pt idx="60">
                  <c:v>0.755</c:v>
                </c:pt>
                <c:pt idx="61">
                  <c:v>0.76</c:v>
                </c:pt>
                <c:pt idx="62">
                  <c:v>0.76400000000000001</c:v>
                </c:pt>
                <c:pt idx="63">
                  <c:v>0.76800000000000002</c:v>
                </c:pt>
                <c:pt idx="64">
                  <c:v>0.77300000000000002</c:v>
                </c:pt>
                <c:pt idx="65">
                  <c:v>0.77700000000000002</c:v>
                </c:pt>
                <c:pt idx="66">
                  <c:v>0.78</c:v>
                </c:pt>
                <c:pt idx="67">
                  <c:v>0.78400000000000003</c:v>
                </c:pt>
                <c:pt idx="68">
                  <c:v>0.78700000000000003</c:v>
                </c:pt>
                <c:pt idx="69">
                  <c:v>0.79100000000000004</c:v>
                </c:pt>
                <c:pt idx="70">
                  <c:v>0.79400000000000004</c:v>
                </c:pt>
                <c:pt idx="71">
                  <c:v>0.79700000000000004</c:v>
                </c:pt>
                <c:pt idx="72">
                  <c:v>0.8</c:v>
                </c:pt>
                <c:pt idx="73">
                  <c:v>0.80300000000000005</c:v>
                </c:pt>
                <c:pt idx="74">
                  <c:v>0.80600000000000005</c:v>
                </c:pt>
                <c:pt idx="75">
                  <c:v>0.80900000000000005</c:v>
                </c:pt>
                <c:pt idx="76">
                  <c:v>0.81100000000000005</c:v>
                </c:pt>
                <c:pt idx="77">
                  <c:v>0.81399999999999995</c:v>
                </c:pt>
                <c:pt idx="78">
                  <c:v>0.81699999999999995</c:v>
                </c:pt>
                <c:pt idx="79">
                  <c:v>0.81899999999999995</c:v>
                </c:pt>
                <c:pt idx="80">
                  <c:v>0.82099999999999995</c:v>
                </c:pt>
                <c:pt idx="81">
                  <c:v>0.82399999999999995</c:v>
                </c:pt>
                <c:pt idx="82">
                  <c:v>0.82599999999999996</c:v>
                </c:pt>
                <c:pt idx="83">
                  <c:v>0.82799999999999996</c:v>
                </c:pt>
                <c:pt idx="84">
                  <c:v>0.83</c:v>
                </c:pt>
                <c:pt idx="85">
                  <c:v>0.83199999999999996</c:v>
                </c:pt>
                <c:pt idx="86">
                  <c:v>0.83399999999999996</c:v>
                </c:pt>
                <c:pt idx="87">
                  <c:v>0.83599999999999997</c:v>
                </c:pt>
                <c:pt idx="88">
                  <c:v>0.83799999999999997</c:v>
                </c:pt>
                <c:pt idx="89">
                  <c:v>0.84</c:v>
                </c:pt>
                <c:pt idx="90">
                  <c:v>0.84199999999999997</c:v>
                </c:pt>
                <c:pt idx="91">
                  <c:v>0.84299999999999997</c:v>
                </c:pt>
                <c:pt idx="92">
                  <c:v>0.84499999999999997</c:v>
                </c:pt>
                <c:pt idx="93">
                  <c:v>0.84699999999999998</c:v>
                </c:pt>
                <c:pt idx="94">
                  <c:v>0.84799999999999998</c:v>
                </c:pt>
                <c:pt idx="95">
                  <c:v>0.85</c:v>
                </c:pt>
                <c:pt idx="96">
                  <c:v>0.85099999999999998</c:v>
                </c:pt>
                <c:pt idx="97">
                  <c:v>0.85299999999999998</c:v>
                </c:pt>
                <c:pt idx="98">
                  <c:v>0.85399999999999998</c:v>
                </c:pt>
                <c:pt idx="99">
                  <c:v>0.85599999999999998</c:v>
                </c:pt>
                <c:pt idx="100">
                  <c:v>0.85699999999999998</c:v>
                </c:pt>
                <c:pt idx="101">
                  <c:v>0.85899999999999999</c:v>
                </c:pt>
                <c:pt idx="102">
                  <c:v>0.86</c:v>
                </c:pt>
                <c:pt idx="103">
                  <c:v>0.86099999999999999</c:v>
                </c:pt>
                <c:pt idx="104">
                  <c:v>0.86299999999999999</c:v>
                </c:pt>
                <c:pt idx="105">
                  <c:v>0.86399999999999999</c:v>
                </c:pt>
                <c:pt idx="106">
                  <c:v>0.86499999999999999</c:v>
                </c:pt>
                <c:pt idx="107">
                  <c:v>0.86599999999999999</c:v>
                </c:pt>
                <c:pt idx="108">
                  <c:v>0.86799999999999999</c:v>
                </c:pt>
                <c:pt idx="109">
                  <c:v>0.86899999999999999</c:v>
                </c:pt>
                <c:pt idx="110">
                  <c:v>0.87</c:v>
                </c:pt>
                <c:pt idx="111">
                  <c:v>0.871</c:v>
                </c:pt>
                <c:pt idx="112">
                  <c:v>0.872</c:v>
                </c:pt>
                <c:pt idx="113">
                  <c:v>0.873</c:v>
                </c:pt>
                <c:pt idx="114">
                  <c:v>0.874</c:v>
                </c:pt>
                <c:pt idx="115">
                  <c:v>0.875</c:v>
                </c:pt>
                <c:pt idx="116">
                  <c:v>0.876</c:v>
                </c:pt>
                <c:pt idx="117">
                  <c:v>0.877</c:v>
                </c:pt>
                <c:pt idx="118">
                  <c:v>0.878</c:v>
                </c:pt>
                <c:pt idx="119">
                  <c:v>0.879</c:v>
                </c:pt>
                <c:pt idx="120">
                  <c:v>0.88</c:v>
                </c:pt>
                <c:pt idx="121">
                  <c:v>0.88700000000000001</c:v>
                </c:pt>
                <c:pt idx="122">
                  <c:v>0.89500000000000002</c:v>
                </c:pt>
                <c:pt idx="123">
                  <c:v>0.90100000000000002</c:v>
                </c:pt>
                <c:pt idx="124">
                  <c:v>0.90700000000000003</c:v>
                </c:pt>
                <c:pt idx="125">
                  <c:v>0.91100000000000003</c:v>
                </c:pt>
                <c:pt idx="126">
                  <c:v>0.91600000000000004</c:v>
                </c:pt>
                <c:pt idx="127">
                  <c:v>0.92</c:v>
                </c:pt>
                <c:pt idx="128">
                  <c:v>0.92300000000000004</c:v>
                </c:pt>
                <c:pt idx="129">
                  <c:v>0.92600000000000005</c:v>
                </c:pt>
                <c:pt idx="130">
                  <c:v>0.92900000000000005</c:v>
                </c:pt>
                <c:pt idx="131">
                  <c:v>0.93200000000000005</c:v>
                </c:pt>
                <c:pt idx="132">
                  <c:v>0.93400000000000005</c:v>
                </c:pt>
                <c:pt idx="133">
                  <c:v>0.93700000000000006</c:v>
                </c:pt>
                <c:pt idx="134">
                  <c:v>0.93899999999999995</c:v>
                </c:pt>
                <c:pt idx="135">
                  <c:v>0.94199999999999995</c:v>
                </c:pt>
                <c:pt idx="136">
                  <c:v>0.94399999999999995</c:v>
                </c:pt>
                <c:pt idx="137">
                  <c:v>0.94599999999999995</c:v>
                </c:pt>
                <c:pt idx="138">
                  <c:v>0.94699999999999995</c:v>
                </c:pt>
                <c:pt idx="139">
                  <c:v>0.95</c:v>
                </c:pt>
                <c:pt idx="140">
                  <c:v>0.95199999999999996</c:v>
                </c:pt>
                <c:pt idx="141">
                  <c:v>0.95399999999999996</c:v>
                </c:pt>
                <c:pt idx="142">
                  <c:v>0.95499999999999996</c:v>
                </c:pt>
                <c:pt idx="143">
                  <c:v>0.95699999999999996</c:v>
                </c:pt>
                <c:pt idx="144">
                  <c:v>0.95699999999999996</c:v>
                </c:pt>
                <c:pt idx="145">
                  <c:v>0.95899999999999996</c:v>
                </c:pt>
                <c:pt idx="146">
                  <c:v>0.96099999999999997</c:v>
                </c:pt>
                <c:pt idx="147">
                  <c:v>0.96299999999999997</c:v>
                </c:pt>
                <c:pt idx="148">
                  <c:v>0.96499999999999997</c:v>
                </c:pt>
                <c:pt idx="149">
                  <c:v>0.96699999999999997</c:v>
                </c:pt>
                <c:pt idx="150">
                  <c:v>0.96899999999999997</c:v>
                </c:pt>
                <c:pt idx="151">
                  <c:v>0.97099999999999997</c:v>
                </c:pt>
                <c:pt idx="152">
                  <c:v>0.97299999999999998</c:v>
                </c:pt>
                <c:pt idx="153">
                  <c:v>0.97499999999999998</c:v>
                </c:pt>
                <c:pt idx="154">
                  <c:v>0.97699999999999998</c:v>
                </c:pt>
                <c:pt idx="155">
                  <c:v>0.98</c:v>
                </c:pt>
                <c:pt idx="156">
                  <c:v>0.98099999999999998</c:v>
                </c:pt>
                <c:pt idx="157">
                  <c:v>0.98299999999999998</c:v>
                </c:pt>
                <c:pt idx="158">
                  <c:v>0.98499999999999999</c:v>
                </c:pt>
                <c:pt idx="159">
                  <c:v>0.98699999999999999</c:v>
                </c:pt>
                <c:pt idx="160">
                  <c:v>0.99</c:v>
                </c:pt>
                <c:pt idx="161">
                  <c:v>0.99199999999999999</c:v>
                </c:pt>
                <c:pt idx="162">
                  <c:v>0.995</c:v>
                </c:pt>
                <c:pt idx="163">
                  <c:v>0.998</c:v>
                </c:pt>
                <c:pt idx="164">
                  <c:v>1</c:v>
                </c:pt>
                <c:pt idx="165">
                  <c:v>1.0029999999999999</c:v>
                </c:pt>
                <c:pt idx="166">
                  <c:v>1.006</c:v>
                </c:pt>
                <c:pt idx="167">
                  <c:v>1.006</c:v>
                </c:pt>
                <c:pt idx="168">
                  <c:v>1.006</c:v>
                </c:pt>
                <c:pt idx="169">
                  <c:v>1.006</c:v>
                </c:pt>
                <c:pt idx="170" formatCode="General">
                  <c:v>1.0069999999999999</c:v>
                </c:pt>
                <c:pt idx="171">
                  <c:v>1.0069999999999999</c:v>
                </c:pt>
                <c:pt idx="172">
                  <c:v>1.008</c:v>
                </c:pt>
                <c:pt idx="173">
                  <c:v>1.008</c:v>
                </c:pt>
                <c:pt idx="174">
                  <c:v>1.0089999999999999</c:v>
                </c:pt>
                <c:pt idx="175" formatCode="General">
                  <c:v>1.01</c:v>
                </c:pt>
                <c:pt idx="176">
                  <c:v>1.0109999999999999</c:v>
                </c:pt>
                <c:pt idx="177">
                  <c:v>1.012</c:v>
                </c:pt>
                <c:pt idx="178">
                  <c:v>1.012</c:v>
                </c:pt>
                <c:pt idx="179" formatCode="General">
                  <c:v>1.0129999999999999</c:v>
                </c:pt>
                <c:pt idx="180">
                  <c:v>1.014</c:v>
                </c:pt>
                <c:pt idx="181">
                  <c:v>1.0149999999999999</c:v>
                </c:pt>
                <c:pt idx="182">
                  <c:v>1.016</c:v>
                </c:pt>
                <c:pt idx="183">
                  <c:v>1.0169999999999999</c:v>
                </c:pt>
                <c:pt idx="184">
                  <c:v>1.018</c:v>
                </c:pt>
                <c:pt idx="185">
                  <c:v>1.02</c:v>
                </c:pt>
                <c:pt idx="186">
                  <c:v>1.0209999999999999</c:v>
                </c:pt>
                <c:pt idx="187">
                  <c:v>1.0229999999999999</c:v>
                </c:pt>
                <c:pt idx="188">
                  <c:v>1.0249999999999999</c:v>
                </c:pt>
                <c:pt idx="189">
                  <c:v>1.0269999999999999</c:v>
                </c:pt>
                <c:pt idx="190">
                  <c:v>1.0289999999999999</c:v>
                </c:pt>
                <c:pt idx="191">
                  <c:v>1.0309999999999999</c:v>
                </c:pt>
                <c:pt idx="192">
                  <c:v>1.0329999999999999</c:v>
                </c:pt>
                <c:pt idx="193">
                  <c:v>1.036</c:v>
                </c:pt>
                <c:pt idx="194">
                  <c:v>1.038</c:v>
                </c:pt>
                <c:pt idx="195">
                  <c:v>1.042</c:v>
                </c:pt>
                <c:pt idx="196">
                  <c:v>1.044</c:v>
                </c:pt>
                <c:pt idx="197">
                  <c:v>1.0469999999999999</c:v>
                </c:pt>
                <c:pt idx="198">
                  <c:v>1.0509999999999999</c:v>
                </c:pt>
                <c:pt idx="199">
                  <c:v>1.054</c:v>
                </c:pt>
                <c:pt idx="200">
                  <c:v>1.0580000000000001</c:v>
                </c:pt>
                <c:pt idx="201">
                  <c:v>1.0569999999999999</c:v>
                </c:pt>
                <c:pt idx="202">
                  <c:v>1.06</c:v>
                </c:pt>
                <c:pt idx="203">
                  <c:v>1.056</c:v>
                </c:pt>
                <c:pt idx="204">
                  <c:v>1.0580000000000001</c:v>
                </c:pt>
                <c:pt idx="205">
                  <c:v>1.054</c:v>
                </c:pt>
                <c:pt idx="206">
                  <c:v>1.056</c:v>
                </c:pt>
                <c:pt idx="207">
                  <c:v>1.0509999999999999</c:v>
                </c:pt>
                <c:pt idx="208">
                  <c:v>1.0529999999999999</c:v>
                </c:pt>
                <c:pt idx="209">
                  <c:v>1.0489999999999999</c:v>
                </c:pt>
                <c:pt idx="210">
                  <c:v>1.05</c:v>
                </c:pt>
                <c:pt idx="211">
                  <c:v>1.0449999999999999</c:v>
                </c:pt>
                <c:pt idx="212">
                  <c:v>1.046</c:v>
                </c:pt>
                <c:pt idx="213">
                  <c:v>1.038</c:v>
                </c:pt>
                <c:pt idx="214">
                  <c:v>1.036</c:v>
                </c:pt>
                <c:pt idx="215">
                  <c:v>1.0309999999999999</c:v>
                </c:pt>
                <c:pt idx="216">
                  <c:v>1.0289999999999999</c:v>
                </c:pt>
                <c:pt idx="217">
                  <c:v>1.024</c:v>
                </c:pt>
                <c:pt idx="218">
                  <c:v>1.0249999999999999</c:v>
                </c:pt>
                <c:pt idx="219">
                  <c:v>1.0289999999999999</c:v>
                </c:pt>
                <c:pt idx="220">
                  <c:v>1.0329999999999999</c:v>
                </c:pt>
                <c:pt idx="221">
                  <c:v>1.0389999999999999</c:v>
                </c:pt>
                <c:pt idx="222">
                  <c:v>1.0509999999999999</c:v>
                </c:pt>
                <c:pt idx="223">
                  <c:v>1.0680000000000001</c:v>
                </c:pt>
                <c:pt idx="224">
                  <c:v>1.105</c:v>
                </c:pt>
                <c:pt idx="225">
                  <c:v>1.21</c:v>
                </c:pt>
                <c:pt idx="226">
                  <c:v>3.28</c:v>
                </c:pt>
                <c:pt idx="227">
                  <c:v>3.28</c:v>
                </c:pt>
                <c:pt idx="228">
                  <c:v>3.28</c:v>
                </c:pt>
                <c:pt idx="229">
                  <c:v>3.28</c:v>
                </c:pt>
                <c:pt idx="230">
                  <c:v>3.28</c:v>
                </c:pt>
                <c:pt idx="231">
                  <c:v>3.28</c:v>
                </c:pt>
                <c:pt idx="232">
                  <c:v>3.28</c:v>
                </c:pt>
                <c:pt idx="233">
                  <c:v>3.28</c:v>
                </c:pt>
                <c:pt idx="234">
                  <c:v>3.28</c:v>
                </c:pt>
                <c:pt idx="235">
                  <c:v>3.28</c:v>
                </c:pt>
                <c:pt idx="236">
                  <c:v>3.28</c:v>
                </c:pt>
                <c:pt idx="237">
                  <c:v>3.28</c:v>
                </c:pt>
                <c:pt idx="238">
                  <c:v>3.28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08-47A5-85E5-FCA2CBBAD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832735"/>
        <c:axId val="318833215"/>
      </c:scatterChart>
      <c:valAx>
        <c:axId val="31883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833215"/>
        <c:crosses val="autoZero"/>
        <c:crossBetween val="midCat"/>
      </c:valAx>
      <c:valAx>
        <c:axId val="31883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832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Δ</a:t>
            </a:r>
            <a:r>
              <a:rPr lang="en-US"/>
              <a:t>P (supply - ina)/mW over n</a:t>
            </a:r>
          </a:p>
        </c:rich>
      </c:tx>
      <c:layout>
        <c:manualLayout>
          <c:xMode val="edge"/>
          <c:yMode val="edge"/>
          <c:x val="7.4951224846894121E-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'measurement data'!$Q$2</c:f>
              <c:strCache>
                <c:ptCount val="1"/>
                <c:pt idx="0">
                  <c:v>ΔI
(supply - ina)
mA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'measurement data'!$A$3:$A$241</c:f>
              <c:numCache>
                <c:formatCode>General</c:formatCode>
                <c:ptCount val="2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130</c:v>
                </c:pt>
                <c:pt idx="122">
                  <c:v>140</c:v>
                </c:pt>
                <c:pt idx="123">
                  <c:v>150</c:v>
                </c:pt>
                <c:pt idx="124">
                  <c:v>160</c:v>
                </c:pt>
                <c:pt idx="125">
                  <c:v>170</c:v>
                </c:pt>
                <c:pt idx="126">
                  <c:v>180</c:v>
                </c:pt>
                <c:pt idx="127">
                  <c:v>190</c:v>
                </c:pt>
                <c:pt idx="128">
                  <c:v>200</c:v>
                </c:pt>
                <c:pt idx="129">
                  <c:v>210</c:v>
                </c:pt>
                <c:pt idx="130">
                  <c:v>220</c:v>
                </c:pt>
                <c:pt idx="131">
                  <c:v>230</c:v>
                </c:pt>
                <c:pt idx="132">
                  <c:v>240</c:v>
                </c:pt>
                <c:pt idx="133">
                  <c:v>250</c:v>
                </c:pt>
                <c:pt idx="134">
                  <c:v>260</c:v>
                </c:pt>
                <c:pt idx="135">
                  <c:v>270</c:v>
                </c:pt>
                <c:pt idx="136">
                  <c:v>280</c:v>
                </c:pt>
                <c:pt idx="137">
                  <c:v>290</c:v>
                </c:pt>
                <c:pt idx="138">
                  <c:v>300</c:v>
                </c:pt>
                <c:pt idx="139">
                  <c:v>310</c:v>
                </c:pt>
                <c:pt idx="140">
                  <c:v>320</c:v>
                </c:pt>
                <c:pt idx="141">
                  <c:v>330</c:v>
                </c:pt>
                <c:pt idx="142">
                  <c:v>340</c:v>
                </c:pt>
                <c:pt idx="143">
                  <c:v>350</c:v>
                </c:pt>
                <c:pt idx="144">
                  <c:v>360</c:v>
                </c:pt>
                <c:pt idx="145">
                  <c:v>370</c:v>
                </c:pt>
                <c:pt idx="146">
                  <c:v>380</c:v>
                </c:pt>
                <c:pt idx="147">
                  <c:v>390</c:v>
                </c:pt>
                <c:pt idx="148">
                  <c:v>400</c:v>
                </c:pt>
                <c:pt idx="149">
                  <c:v>410</c:v>
                </c:pt>
                <c:pt idx="150">
                  <c:v>420</c:v>
                </c:pt>
                <c:pt idx="151">
                  <c:v>430</c:v>
                </c:pt>
                <c:pt idx="152">
                  <c:v>440</c:v>
                </c:pt>
                <c:pt idx="153">
                  <c:v>450</c:v>
                </c:pt>
                <c:pt idx="154">
                  <c:v>460</c:v>
                </c:pt>
                <c:pt idx="155">
                  <c:v>470</c:v>
                </c:pt>
                <c:pt idx="156">
                  <c:v>480</c:v>
                </c:pt>
                <c:pt idx="157">
                  <c:v>490</c:v>
                </c:pt>
                <c:pt idx="158">
                  <c:v>500</c:v>
                </c:pt>
                <c:pt idx="159">
                  <c:v>510</c:v>
                </c:pt>
                <c:pt idx="160">
                  <c:v>520</c:v>
                </c:pt>
                <c:pt idx="161">
                  <c:v>530</c:v>
                </c:pt>
                <c:pt idx="162">
                  <c:v>540</c:v>
                </c:pt>
                <c:pt idx="163">
                  <c:v>550</c:v>
                </c:pt>
                <c:pt idx="164">
                  <c:v>560</c:v>
                </c:pt>
                <c:pt idx="165">
                  <c:v>570</c:v>
                </c:pt>
                <c:pt idx="166">
                  <c:v>580</c:v>
                </c:pt>
                <c:pt idx="167">
                  <c:v>581</c:v>
                </c:pt>
                <c:pt idx="168">
                  <c:v>582</c:v>
                </c:pt>
                <c:pt idx="169">
                  <c:v>583</c:v>
                </c:pt>
                <c:pt idx="170">
                  <c:v>584</c:v>
                </c:pt>
                <c:pt idx="171">
                  <c:v>585</c:v>
                </c:pt>
                <c:pt idx="172">
                  <c:v>586</c:v>
                </c:pt>
                <c:pt idx="173">
                  <c:v>587</c:v>
                </c:pt>
                <c:pt idx="174">
                  <c:v>588</c:v>
                </c:pt>
                <c:pt idx="175">
                  <c:v>589</c:v>
                </c:pt>
                <c:pt idx="176">
                  <c:v>590</c:v>
                </c:pt>
                <c:pt idx="177">
                  <c:v>590</c:v>
                </c:pt>
                <c:pt idx="178">
                  <c:v>591</c:v>
                </c:pt>
                <c:pt idx="179">
                  <c:v>592</c:v>
                </c:pt>
                <c:pt idx="180">
                  <c:v>593</c:v>
                </c:pt>
                <c:pt idx="181">
                  <c:v>594</c:v>
                </c:pt>
                <c:pt idx="182">
                  <c:v>595</c:v>
                </c:pt>
                <c:pt idx="183">
                  <c:v>596</c:v>
                </c:pt>
                <c:pt idx="184">
                  <c:v>597</c:v>
                </c:pt>
                <c:pt idx="185">
                  <c:v>598</c:v>
                </c:pt>
                <c:pt idx="186">
                  <c:v>599</c:v>
                </c:pt>
                <c:pt idx="187">
                  <c:v>600</c:v>
                </c:pt>
                <c:pt idx="188">
                  <c:v>601</c:v>
                </c:pt>
                <c:pt idx="189">
                  <c:v>602</c:v>
                </c:pt>
                <c:pt idx="190">
                  <c:v>603</c:v>
                </c:pt>
                <c:pt idx="191">
                  <c:v>604</c:v>
                </c:pt>
                <c:pt idx="192">
                  <c:v>605</c:v>
                </c:pt>
                <c:pt idx="193">
                  <c:v>606</c:v>
                </c:pt>
                <c:pt idx="194">
                  <c:v>607</c:v>
                </c:pt>
                <c:pt idx="195">
                  <c:v>608</c:v>
                </c:pt>
                <c:pt idx="196">
                  <c:v>609</c:v>
                </c:pt>
                <c:pt idx="197">
                  <c:v>610</c:v>
                </c:pt>
                <c:pt idx="198">
                  <c:v>611</c:v>
                </c:pt>
                <c:pt idx="199">
                  <c:v>612</c:v>
                </c:pt>
                <c:pt idx="200">
                  <c:v>613</c:v>
                </c:pt>
                <c:pt idx="201">
                  <c:v>614</c:v>
                </c:pt>
                <c:pt idx="202">
                  <c:v>615</c:v>
                </c:pt>
                <c:pt idx="203">
                  <c:v>616</c:v>
                </c:pt>
                <c:pt idx="204">
                  <c:v>617</c:v>
                </c:pt>
                <c:pt idx="205">
                  <c:v>618</c:v>
                </c:pt>
                <c:pt idx="206">
                  <c:v>619</c:v>
                </c:pt>
                <c:pt idx="207">
                  <c:v>620</c:v>
                </c:pt>
                <c:pt idx="208">
                  <c:v>621</c:v>
                </c:pt>
                <c:pt idx="209">
                  <c:v>622</c:v>
                </c:pt>
                <c:pt idx="210">
                  <c:v>623</c:v>
                </c:pt>
                <c:pt idx="211">
                  <c:v>624</c:v>
                </c:pt>
                <c:pt idx="212">
                  <c:v>625</c:v>
                </c:pt>
                <c:pt idx="213">
                  <c:v>626</c:v>
                </c:pt>
                <c:pt idx="214">
                  <c:v>627</c:v>
                </c:pt>
                <c:pt idx="215">
                  <c:v>628</c:v>
                </c:pt>
                <c:pt idx="216">
                  <c:v>629</c:v>
                </c:pt>
                <c:pt idx="217">
                  <c:v>630</c:v>
                </c:pt>
                <c:pt idx="218">
                  <c:v>631</c:v>
                </c:pt>
                <c:pt idx="219">
                  <c:v>632</c:v>
                </c:pt>
                <c:pt idx="220">
                  <c:v>633</c:v>
                </c:pt>
                <c:pt idx="221">
                  <c:v>634</c:v>
                </c:pt>
                <c:pt idx="222">
                  <c:v>635</c:v>
                </c:pt>
                <c:pt idx="223">
                  <c:v>636</c:v>
                </c:pt>
                <c:pt idx="224">
                  <c:v>637</c:v>
                </c:pt>
                <c:pt idx="225">
                  <c:v>638</c:v>
                </c:pt>
                <c:pt idx="226">
                  <c:v>639</c:v>
                </c:pt>
                <c:pt idx="227">
                  <c:v>640</c:v>
                </c:pt>
                <c:pt idx="228">
                  <c:v>640</c:v>
                </c:pt>
                <c:pt idx="229">
                  <c:v>641</c:v>
                </c:pt>
                <c:pt idx="230">
                  <c:v>642</c:v>
                </c:pt>
                <c:pt idx="231">
                  <c:v>643</c:v>
                </c:pt>
                <c:pt idx="232">
                  <c:v>644</c:v>
                </c:pt>
                <c:pt idx="233">
                  <c:v>645</c:v>
                </c:pt>
                <c:pt idx="234">
                  <c:v>646</c:v>
                </c:pt>
                <c:pt idx="235">
                  <c:v>647</c:v>
                </c:pt>
                <c:pt idx="236">
                  <c:v>648</c:v>
                </c:pt>
                <c:pt idx="237">
                  <c:v>649</c:v>
                </c:pt>
                <c:pt idx="238">
                  <c:v>650</c:v>
                </c:pt>
              </c:numCache>
            </c:numRef>
          </c:xVal>
          <c:yVal>
            <c:numRef>
              <c:f>'measurement data'!$R$3:$R$241</c:f>
              <c:numCache>
                <c:formatCode>0</c:formatCode>
                <c:ptCount val="239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3</c:v>
                </c:pt>
                <c:pt idx="26">
                  <c:v>3</c:v>
                </c:pt>
                <c:pt idx="27">
                  <c:v>5</c:v>
                </c:pt>
                <c:pt idx="28">
                  <c:v>0</c:v>
                </c:pt>
                <c:pt idx="29">
                  <c:v>2</c:v>
                </c:pt>
                <c:pt idx="30">
                  <c:v>2</c:v>
                </c:pt>
                <c:pt idx="31">
                  <c:v>5</c:v>
                </c:pt>
                <c:pt idx="32">
                  <c:v>5</c:v>
                </c:pt>
                <c:pt idx="33">
                  <c:v>7</c:v>
                </c:pt>
                <c:pt idx="34">
                  <c:v>1</c:v>
                </c:pt>
                <c:pt idx="35">
                  <c:v>2</c:v>
                </c:pt>
                <c:pt idx="36">
                  <c:v>4</c:v>
                </c:pt>
                <c:pt idx="37">
                  <c:v>4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9</c:v>
                </c:pt>
                <c:pt idx="42">
                  <c:v>3</c:v>
                </c:pt>
                <c:pt idx="43">
                  <c:v>6</c:v>
                </c:pt>
                <c:pt idx="44">
                  <c:v>2</c:v>
                </c:pt>
                <c:pt idx="45">
                  <c:v>0</c:v>
                </c:pt>
                <c:pt idx="46">
                  <c:v>1</c:v>
                </c:pt>
                <c:pt idx="47">
                  <c:v>3</c:v>
                </c:pt>
                <c:pt idx="48">
                  <c:v>3</c:v>
                </c:pt>
                <c:pt idx="49">
                  <c:v>2</c:v>
                </c:pt>
                <c:pt idx="50">
                  <c:v>-1</c:v>
                </c:pt>
                <c:pt idx="51">
                  <c:v>8</c:v>
                </c:pt>
                <c:pt idx="52">
                  <c:v>5</c:v>
                </c:pt>
                <c:pt idx="53">
                  <c:v>4</c:v>
                </c:pt>
                <c:pt idx="54">
                  <c:v>5</c:v>
                </c:pt>
                <c:pt idx="55">
                  <c:v>1</c:v>
                </c:pt>
                <c:pt idx="56">
                  <c:v>0</c:v>
                </c:pt>
                <c:pt idx="57">
                  <c:v>10</c:v>
                </c:pt>
                <c:pt idx="58">
                  <c:v>7</c:v>
                </c:pt>
                <c:pt idx="59">
                  <c:v>3</c:v>
                </c:pt>
                <c:pt idx="60">
                  <c:v>3</c:v>
                </c:pt>
                <c:pt idx="61">
                  <c:v>5</c:v>
                </c:pt>
                <c:pt idx="62">
                  <c:v>-1</c:v>
                </c:pt>
                <c:pt idx="63">
                  <c:v>10</c:v>
                </c:pt>
                <c:pt idx="64">
                  <c:v>5</c:v>
                </c:pt>
                <c:pt idx="65">
                  <c:v>5</c:v>
                </c:pt>
                <c:pt idx="66">
                  <c:v>4</c:v>
                </c:pt>
                <c:pt idx="67">
                  <c:v>6</c:v>
                </c:pt>
                <c:pt idx="68">
                  <c:v>7</c:v>
                </c:pt>
                <c:pt idx="69">
                  <c:v>8</c:v>
                </c:pt>
                <c:pt idx="70">
                  <c:v>6</c:v>
                </c:pt>
                <c:pt idx="71">
                  <c:v>8</c:v>
                </c:pt>
                <c:pt idx="72">
                  <c:v>4</c:v>
                </c:pt>
                <c:pt idx="73">
                  <c:v>2</c:v>
                </c:pt>
                <c:pt idx="74">
                  <c:v>10</c:v>
                </c:pt>
                <c:pt idx="75">
                  <c:v>5</c:v>
                </c:pt>
                <c:pt idx="76">
                  <c:v>7</c:v>
                </c:pt>
                <c:pt idx="77">
                  <c:v>6</c:v>
                </c:pt>
                <c:pt idx="78">
                  <c:v>6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8</c:v>
                </c:pt>
                <c:pt idx="83">
                  <c:v>8</c:v>
                </c:pt>
                <c:pt idx="84">
                  <c:v>4</c:v>
                </c:pt>
                <c:pt idx="85">
                  <c:v>10</c:v>
                </c:pt>
                <c:pt idx="86">
                  <c:v>9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4</c:v>
                </c:pt>
                <c:pt idx="93">
                  <c:v>8</c:v>
                </c:pt>
                <c:pt idx="94">
                  <c:v>9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11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4</c:v>
                </c:pt>
                <c:pt idx="104">
                  <c:v>7</c:v>
                </c:pt>
                <c:pt idx="105">
                  <c:v>8</c:v>
                </c:pt>
                <c:pt idx="106">
                  <c:v>10</c:v>
                </c:pt>
                <c:pt idx="107">
                  <c:v>6</c:v>
                </c:pt>
                <c:pt idx="108">
                  <c:v>10</c:v>
                </c:pt>
                <c:pt idx="109">
                  <c:v>5</c:v>
                </c:pt>
                <c:pt idx="110">
                  <c:v>5</c:v>
                </c:pt>
                <c:pt idx="111">
                  <c:v>6</c:v>
                </c:pt>
                <c:pt idx="112">
                  <c:v>12</c:v>
                </c:pt>
                <c:pt idx="113">
                  <c:v>12</c:v>
                </c:pt>
                <c:pt idx="114">
                  <c:v>13</c:v>
                </c:pt>
                <c:pt idx="115">
                  <c:v>13</c:v>
                </c:pt>
                <c:pt idx="116">
                  <c:v>13</c:v>
                </c:pt>
                <c:pt idx="117">
                  <c:v>13</c:v>
                </c:pt>
                <c:pt idx="118">
                  <c:v>10</c:v>
                </c:pt>
                <c:pt idx="119">
                  <c:v>13</c:v>
                </c:pt>
                <c:pt idx="120">
                  <c:v>10</c:v>
                </c:pt>
                <c:pt idx="121">
                  <c:v>12</c:v>
                </c:pt>
                <c:pt idx="122">
                  <c:v>13</c:v>
                </c:pt>
                <c:pt idx="123">
                  <c:v>11</c:v>
                </c:pt>
                <c:pt idx="124">
                  <c:v>19</c:v>
                </c:pt>
                <c:pt idx="125">
                  <c:v>13</c:v>
                </c:pt>
                <c:pt idx="126">
                  <c:v>16</c:v>
                </c:pt>
                <c:pt idx="127">
                  <c:v>21</c:v>
                </c:pt>
                <c:pt idx="128">
                  <c:v>21</c:v>
                </c:pt>
                <c:pt idx="129">
                  <c:v>23</c:v>
                </c:pt>
                <c:pt idx="130">
                  <c:v>21</c:v>
                </c:pt>
                <c:pt idx="131">
                  <c:v>22</c:v>
                </c:pt>
                <c:pt idx="132">
                  <c:v>22</c:v>
                </c:pt>
                <c:pt idx="133">
                  <c:v>32</c:v>
                </c:pt>
                <c:pt idx="134">
                  <c:v>24</c:v>
                </c:pt>
                <c:pt idx="135">
                  <c:v>32</c:v>
                </c:pt>
                <c:pt idx="136">
                  <c:v>33</c:v>
                </c:pt>
                <c:pt idx="137">
                  <c:v>39</c:v>
                </c:pt>
                <c:pt idx="138">
                  <c:v>36</c:v>
                </c:pt>
                <c:pt idx="139">
                  <c:v>40</c:v>
                </c:pt>
                <c:pt idx="140">
                  <c:v>43</c:v>
                </c:pt>
                <c:pt idx="141">
                  <c:v>36</c:v>
                </c:pt>
                <c:pt idx="142">
                  <c:v>39</c:v>
                </c:pt>
                <c:pt idx="143">
                  <c:v>41</c:v>
                </c:pt>
                <c:pt idx="144">
                  <c:v>48</c:v>
                </c:pt>
                <c:pt idx="145">
                  <c:v>46</c:v>
                </c:pt>
                <c:pt idx="146">
                  <c:v>54</c:v>
                </c:pt>
                <c:pt idx="147">
                  <c:v>57</c:v>
                </c:pt>
                <c:pt idx="148">
                  <c:v>52</c:v>
                </c:pt>
                <c:pt idx="149">
                  <c:v>57</c:v>
                </c:pt>
                <c:pt idx="150">
                  <c:v>64</c:v>
                </c:pt>
                <c:pt idx="151">
                  <c:v>60</c:v>
                </c:pt>
                <c:pt idx="152">
                  <c:v>62</c:v>
                </c:pt>
                <c:pt idx="153">
                  <c:v>70</c:v>
                </c:pt>
                <c:pt idx="154">
                  <c:v>63</c:v>
                </c:pt>
                <c:pt idx="155">
                  <c:v>71</c:v>
                </c:pt>
                <c:pt idx="156">
                  <c:v>72</c:v>
                </c:pt>
                <c:pt idx="157">
                  <c:v>76</c:v>
                </c:pt>
                <c:pt idx="158">
                  <c:v>80</c:v>
                </c:pt>
                <c:pt idx="159">
                  <c:v>83</c:v>
                </c:pt>
                <c:pt idx="160">
                  <c:v>82</c:v>
                </c:pt>
                <c:pt idx="161">
                  <c:v>89</c:v>
                </c:pt>
                <c:pt idx="162">
                  <c:v>93</c:v>
                </c:pt>
                <c:pt idx="163">
                  <c:v>95</c:v>
                </c:pt>
                <c:pt idx="164">
                  <c:v>99</c:v>
                </c:pt>
                <c:pt idx="165">
                  <c:v>97</c:v>
                </c:pt>
                <c:pt idx="166">
                  <c:v>101</c:v>
                </c:pt>
                <c:pt idx="167">
                  <c:v>103</c:v>
                </c:pt>
                <c:pt idx="168">
                  <c:v>102</c:v>
                </c:pt>
                <c:pt idx="169">
                  <c:v>102</c:v>
                </c:pt>
                <c:pt idx="170">
                  <c:v>102</c:v>
                </c:pt>
                <c:pt idx="171">
                  <c:v>108</c:v>
                </c:pt>
                <c:pt idx="172">
                  <c:v>107</c:v>
                </c:pt>
                <c:pt idx="173">
                  <c:v>102</c:v>
                </c:pt>
                <c:pt idx="174">
                  <c:v>107</c:v>
                </c:pt>
                <c:pt idx="175">
                  <c:v>105</c:v>
                </c:pt>
                <c:pt idx="176">
                  <c:v>104</c:v>
                </c:pt>
                <c:pt idx="177">
                  <c:v>107</c:v>
                </c:pt>
                <c:pt idx="178">
                  <c:v>107</c:v>
                </c:pt>
                <c:pt idx="179">
                  <c:v>108</c:v>
                </c:pt>
                <c:pt idx="180">
                  <c:v>107</c:v>
                </c:pt>
                <c:pt idx="181">
                  <c:v>109</c:v>
                </c:pt>
                <c:pt idx="182">
                  <c:v>119</c:v>
                </c:pt>
                <c:pt idx="183">
                  <c:v>103</c:v>
                </c:pt>
                <c:pt idx="184">
                  <c:v>109</c:v>
                </c:pt>
                <c:pt idx="185">
                  <c:v>109</c:v>
                </c:pt>
                <c:pt idx="186">
                  <c:v>105</c:v>
                </c:pt>
                <c:pt idx="187">
                  <c:v>110</c:v>
                </c:pt>
                <c:pt idx="188">
                  <c:v>112</c:v>
                </c:pt>
                <c:pt idx="189">
                  <c:v>106</c:v>
                </c:pt>
                <c:pt idx="190">
                  <c:v>112</c:v>
                </c:pt>
                <c:pt idx="191">
                  <c:v>113</c:v>
                </c:pt>
                <c:pt idx="192">
                  <c:v>110</c:v>
                </c:pt>
                <c:pt idx="193">
                  <c:v>112</c:v>
                </c:pt>
                <c:pt idx="194">
                  <c:v>112</c:v>
                </c:pt>
                <c:pt idx="195">
                  <c:v>107</c:v>
                </c:pt>
                <c:pt idx="196">
                  <c:v>109</c:v>
                </c:pt>
                <c:pt idx="197">
                  <c:v>113</c:v>
                </c:pt>
                <c:pt idx="198">
                  <c:v>112</c:v>
                </c:pt>
                <c:pt idx="199">
                  <c:v>114</c:v>
                </c:pt>
                <c:pt idx="200">
                  <c:v>115</c:v>
                </c:pt>
                <c:pt idx="201">
                  <c:v>115</c:v>
                </c:pt>
                <c:pt idx="202">
                  <c:v>111</c:v>
                </c:pt>
                <c:pt idx="203">
                  <c:v>114</c:v>
                </c:pt>
                <c:pt idx="204">
                  <c:v>117</c:v>
                </c:pt>
                <c:pt idx="205">
                  <c:v>120</c:v>
                </c:pt>
                <c:pt idx="206">
                  <c:v>116</c:v>
                </c:pt>
                <c:pt idx="207">
                  <c:v>116</c:v>
                </c:pt>
                <c:pt idx="208">
                  <c:v>117</c:v>
                </c:pt>
                <c:pt idx="209">
                  <c:v>119</c:v>
                </c:pt>
                <c:pt idx="210">
                  <c:v>113</c:v>
                </c:pt>
                <c:pt idx="211">
                  <c:v>116</c:v>
                </c:pt>
                <c:pt idx="212">
                  <c:v>118</c:v>
                </c:pt>
                <c:pt idx="213">
                  <c:v>118</c:v>
                </c:pt>
                <c:pt idx="214">
                  <c:v>114</c:v>
                </c:pt>
                <c:pt idx="215">
                  <c:v>117</c:v>
                </c:pt>
                <c:pt idx="216">
                  <c:v>119</c:v>
                </c:pt>
                <c:pt idx="217">
                  <c:v>120</c:v>
                </c:pt>
                <c:pt idx="218">
                  <c:v>116</c:v>
                </c:pt>
                <c:pt idx="219">
                  <c:v>119</c:v>
                </c:pt>
                <c:pt idx="220">
                  <c:v>120</c:v>
                </c:pt>
                <c:pt idx="221">
                  <c:v>121</c:v>
                </c:pt>
                <c:pt idx="222">
                  <c:v>122</c:v>
                </c:pt>
                <c:pt idx="223">
                  <c:v>119</c:v>
                </c:pt>
                <c:pt idx="224">
                  <c:v>121</c:v>
                </c:pt>
                <c:pt idx="225">
                  <c:v>122</c:v>
                </c:pt>
                <c:pt idx="226">
                  <c:v>124</c:v>
                </c:pt>
                <c:pt idx="227">
                  <c:v>121</c:v>
                </c:pt>
                <c:pt idx="228">
                  <c:v>124</c:v>
                </c:pt>
                <c:pt idx="229">
                  <c:v>121</c:v>
                </c:pt>
                <c:pt idx="230">
                  <c:v>124</c:v>
                </c:pt>
                <c:pt idx="231">
                  <c:v>127</c:v>
                </c:pt>
                <c:pt idx="232">
                  <c:v>127</c:v>
                </c:pt>
                <c:pt idx="233">
                  <c:v>127</c:v>
                </c:pt>
                <c:pt idx="234">
                  <c:v>127</c:v>
                </c:pt>
                <c:pt idx="235">
                  <c:v>124</c:v>
                </c:pt>
                <c:pt idx="236">
                  <c:v>124</c:v>
                </c:pt>
                <c:pt idx="237">
                  <c:v>124</c:v>
                </c:pt>
                <c:pt idx="238">
                  <c:v>124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6F-475F-B700-B5100B346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321951"/>
        <c:axId val="1150322431"/>
      </c:scatterChart>
      <c:valAx>
        <c:axId val="1150321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322431"/>
        <c:crosses val="autoZero"/>
        <c:crossBetween val="midCat"/>
      </c:valAx>
      <c:valAx>
        <c:axId val="115032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321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Vshunt/mV over n</a:t>
            </a:r>
          </a:p>
        </c:rich>
      </c:tx>
      <c:layout>
        <c:manualLayout>
          <c:xMode val="edge"/>
          <c:yMode val="edge"/>
          <c:x val="9.0861111111111142E-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'measurement data'!$D$2</c:f>
              <c:strCache>
                <c:ptCount val="1"/>
                <c:pt idx="0">
                  <c:v>Vsense
mV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'measurement data'!$A$3:$A$241</c:f>
              <c:numCache>
                <c:formatCode>General</c:formatCode>
                <c:ptCount val="2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130</c:v>
                </c:pt>
                <c:pt idx="122">
                  <c:v>140</c:v>
                </c:pt>
                <c:pt idx="123">
                  <c:v>150</c:v>
                </c:pt>
                <c:pt idx="124">
                  <c:v>160</c:v>
                </c:pt>
                <c:pt idx="125">
                  <c:v>170</c:v>
                </c:pt>
                <c:pt idx="126">
                  <c:v>180</c:v>
                </c:pt>
                <c:pt idx="127">
                  <c:v>190</c:v>
                </c:pt>
                <c:pt idx="128">
                  <c:v>200</c:v>
                </c:pt>
                <c:pt idx="129">
                  <c:v>210</c:v>
                </c:pt>
                <c:pt idx="130">
                  <c:v>220</c:v>
                </c:pt>
                <c:pt idx="131">
                  <c:v>230</c:v>
                </c:pt>
                <c:pt idx="132">
                  <c:v>240</c:v>
                </c:pt>
                <c:pt idx="133">
                  <c:v>250</c:v>
                </c:pt>
                <c:pt idx="134">
                  <c:v>260</c:v>
                </c:pt>
                <c:pt idx="135">
                  <c:v>270</c:v>
                </c:pt>
                <c:pt idx="136">
                  <c:v>280</c:v>
                </c:pt>
                <c:pt idx="137">
                  <c:v>290</c:v>
                </c:pt>
                <c:pt idx="138">
                  <c:v>300</c:v>
                </c:pt>
                <c:pt idx="139">
                  <c:v>310</c:v>
                </c:pt>
                <c:pt idx="140">
                  <c:v>320</c:v>
                </c:pt>
                <c:pt idx="141">
                  <c:v>330</c:v>
                </c:pt>
                <c:pt idx="142">
                  <c:v>340</c:v>
                </c:pt>
                <c:pt idx="143">
                  <c:v>350</c:v>
                </c:pt>
                <c:pt idx="144">
                  <c:v>360</c:v>
                </c:pt>
                <c:pt idx="145">
                  <c:v>370</c:v>
                </c:pt>
                <c:pt idx="146">
                  <c:v>380</c:v>
                </c:pt>
                <c:pt idx="147">
                  <c:v>390</c:v>
                </c:pt>
                <c:pt idx="148">
                  <c:v>400</c:v>
                </c:pt>
                <c:pt idx="149">
                  <c:v>410</c:v>
                </c:pt>
                <c:pt idx="150">
                  <c:v>420</c:v>
                </c:pt>
                <c:pt idx="151">
                  <c:v>430</c:v>
                </c:pt>
                <c:pt idx="152">
                  <c:v>440</c:v>
                </c:pt>
                <c:pt idx="153">
                  <c:v>450</c:v>
                </c:pt>
                <c:pt idx="154">
                  <c:v>460</c:v>
                </c:pt>
                <c:pt idx="155">
                  <c:v>470</c:v>
                </c:pt>
                <c:pt idx="156">
                  <c:v>480</c:v>
                </c:pt>
                <c:pt idx="157">
                  <c:v>490</c:v>
                </c:pt>
                <c:pt idx="158">
                  <c:v>500</c:v>
                </c:pt>
                <c:pt idx="159">
                  <c:v>510</c:v>
                </c:pt>
                <c:pt idx="160">
                  <c:v>520</c:v>
                </c:pt>
                <c:pt idx="161">
                  <c:v>530</c:v>
                </c:pt>
                <c:pt idx="162">
                  <c:v>540</c:v>
                </c:pt>
                <c:pt idx="163">
                  <c:v>550</c:v>
                </c:pt>
                <c:pt idx="164">
                  <c:v>560</c:v>
                </c:pt>
                <c:pt idx="165">
                  <c:v>570</c:v>
                </c:pt>
                <c:pt idx="166">
                  <c:v>580</c:v>
                </c:pt>
                <c:pt idx="167">
                  <c:v>581</c:v>
                </c:pt>
                <c:pt idx="168">
                  <c:v>582</c:v>
                </c:pt>
                <c:pt idx="169">
                  <c:v>583</c:v>
                </c:pt>
                <c:pt idx="170">
                  <c:v>584</c:v>
                </c:pt>
                <c:pt idx="171">
                  <c:v>585</c:v>
                </c:pt>
                <c:pt idx="172">
                  <c:v>586</c:v>
                </c:pt>
                <c:pt idx="173">
                  <c:v>587</c:v>
                </c:pt>
                <c:pt idx="174">
                  <c:v>588</c:v>
                </c:pt>
                <c:pt idx="175">
                  <c:v>589</c:v>
                </c:pt>
                <c:pt idx="176">
                  <c:v>590</c:v>
                </c:pt>
                <c:pt idx="177">
                  <c:v>590</c:v>
                </c:pt>
                <c:pt idx="178">
                  <c:v>591</c:v>
                </c:pt>
                <c:pt idx="179">
                  <c:v>592</c:v>
                </c:pt>
                <c:pt idx="180">
                  <c:v>593</c:v>
                </c:pt>
                <c:pt idx="181">
                  <c:v>594</c:v>
                </c:pt>
                <c:pt idx="182">
                  <c:v>595</c:v>
                </c:pt>
                <c:pt idx="183">
                  <c:v>596</c:v>
                </c:pt>
                <c:pt idx="184">
                  <c:v>597</c:v>
                </c:pt>
                <c:pt idx="185">
                  <c:v>598</c:v>
                </c:pt>
                <c:pt idx="186">
                  <c:v>599</c:v>
                </c:pt>
                <c:pt idx="187">
                  <c:v>600</c:v>
                </c:pt>
                <c:pt idx="188">
                  <c:v>601</c:v>
                </c:pt>
                <c:pt idx="189">
                  <c:v>602</c:v>
                </c:pt>
                <c:pt idx="190">
                  <c:v>603</c:v>
                </c:pt>
                <c:pt idx="191">
                  <c:v>604</c:v>
                </c:pt>
                <c:pt idx="192">
                  <c:v>605</c:v>
                </c:pt>
                <c:pt idx="193">
                  <c:v>606</c:v>
                </c:pt>
                <c:pt idx="194">
                  <c:v>607</c:v>
                </c:pt>
                <c:pt idx="195">
                  <c:v>608</c:v>
                </c:pt>
                <c:pt idx="196">
                  <c:v>609</c:v>
                </c:pt>
                <c:pt idx="197">
                  <c:v>610</c:v>
                </c:pt>
                <c:pt idx="198">
                  <c:v>611</c:v>
                </c:pt>
                <c:pt idx="199">
                  <c:v>612</c:v>
                </c:pt>
                <c:pt idx="200">
                  <c:v>613</c:v>
                </c:pt>
                <c:pt idx="201">
                  <c:v>614</c:v>
                </c:pt>
                <c:pt idx="202">
                  <c:v>615</c:v>
                </c:pt>
                <c:pt idx="203">
                  <c:v>616</c:v>
                </c:pt>
                <c:pt idx="204">
                  <c:v>617</c:v>
                </c:pt>
                <c:pt idx="205">
                  <c:v>618</c:v>
                </c:pt>
                <c:pt idx="206">
                  <c:v>619</c:v>
                </c:pt>
                <c:pt idx="207">
                  <c:v>620</c:v>
                </c:pt>
                <c:pt idx="208">
                  <c:v>621</c:v>
                </c:pt>
                <c:pt idx="209">
                  <c:v>622</c:v>
                </c:pt>
                <c:pt idx="210">
                  <c:v>623</c:v>
                </c:pt>
                <c:pt idx="211">
                  <c:v>624</c:v>
                </c:pt>
                <c:pt idx="212">
                  <c:v>625</c:v>
                </c:pt>
                <c:pt idx="213">
                  <c:v>626</c:v>
                </c:pt>
                <c:pt idx="214">
                  <c:v>627</c:v>
                </c:pt>
                <c:pt idx="215">
                  <c:v>628</c:v>
                </c:pt>
                <c:pt idx="216">
                  <c:v>629</c:v>
                </c:pt>
                <c:pt idx="217">
                  <c:v>630</c:v>
                </c:pt>
                <c:pt idx="218">
                  <c:v>631</c:v>
                </c:pt>
                <c:pt idx="219">
                  <c:v>632</c:v>
                </c:pt>
                <c:pt idx="220">
                  <c:v>633</c:v>
                </c:pt>
                <c:pt idx="221">
                  <c:v>634</c:v>
                </c:pt>
                <c:pt idx="222">
                  <c:v>635</c:v>
                </c:pt>
                <c:pt idx="223">
                  <c:v>636</c:v>
                </c:pt>
                <c:pt idx="224">
                  <c:v>637</c:v>
                </c:pt>
                <c:pt idx="225">
                  <c:v>638</c:v>
                </c:pt>
                <c:pt idx="226">
                  <c:v>639</c:v>
                </c:pt>
                <c:pt idx="227">
                  <c:v>640</c:v>
                </c:pt>
                <c:pt idx="228">
                  <c:v>640</c:v>
                </c:pt>
                <c:pt idx="229">
                  <c:v>641</c:v>
                </c:pt>
                <c:pt idx="230">
                  <c:v>642</c:v>
                </c:pt>
                <c:pt idx="231">
                  <c:v>643</c:v>
                </c:pt>
                <c:pt idx="232">
                  <c:v>644</c:v>
                </c:pt>
                <c:pt idx="233">
                  <c:v>645</c:v>
                </c:pt>
                <c:pt idx="234">
                  <c:v>646</c:v>
                </c:pt>
                <c:pt idx="235">
                  <c:v>647</c:v>
                </c:pt>
                <c:pt idx="236">
                  <c:v>648</c:v>
                </c:pt>
                <c:pt idx="237">
                  <c:v>649</c:v>
                </c:pt>
                <c:pt idx="238">
                  <c:v>650</c:v>
                </c:pt>
              </c:numCache>
            </c:numRef>
          </c:xVal>
          <c:yVal>
            <c:numRef>
              <c:f>'measurement data'!$J$3:$J$241</c:f>
              <c:numCache>
                <c:formatCode>0</c:formatCode>
                <c:ptCount val="2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10</c:v>
                </c:pt>
                <c:pt idx="26">
                  <c:v>19</c:v>
                </c:pt>
                <c:pt idx="27">
                  <c:v>28</c:v>
                </c:pt>
                <c:pt idx="28">
                  <c:v>32</c:v>
                </c:pt>
                <c:pt idx="29">
                  <c:v>40</c:v>
                </c:pt>
                <c:pt idx="30">
                  <c:v>55</c:v>
                </c:pt>
                <c:pt idx="31">
                  <c:v>65</c:v>
                </c:pt>
                <c:pt idx="32">
                  <c:v>0</c:v>
                </c:pt>
                <c:pt idx="33">
                  <c:v>31</c:v>
                </c:pt>
                <c:pt idx="34">
                  <c:v>88</c:v>
                </c:pt>
                <c:pt idx="35">
                  <c:v>93</c:v>
                </c:pt>
                <c:pt idx="36">
                  <c:v>102</c:v>
                </c:pt>
                <c:pt idx="37">
                  <c:v>106</c:v>
                </c:pt>
                <c:pt idx="38">
                  <c:v>120</c:v>
                </c:pt>
                <c:pt idx="39">
                  <c:v>131</c:v>
                </c:pt>
                <c:pt idx="40">
                  <c:v>134</c:v>
                </c:pt>
                <c:pt idx="41">
                  <c:v>144</c:v>
                </c:pt>
                <c:pt idx="42">
                  <c:v>163</c:v>
                </c:pt>
                <c:pt idx="43">
                  <c:v>163</c:v>
                </c:pt>
                <c:pt idx="44">
                  <c:v>175</c:v>
                </c:pt>
                <c:pt idx="45">
                  <c:v>184</c:v>
                </c:pt>
                <c:pt idx="46">
                  <c:v>190</c:v>
                </c:pt>
                <c:pt idx="47">
                  <c:v>205</c:v>
                </c:pt>
                <c:pt idx="48">
                  <c:v>216</c:v>
                </c:pt>
                <c:pt idx="49">
                  <c:v>222</c:v>
                </c:pt>
                <c:pt idx="50">
                  <c:v>249</c:v>
                </c:pt>
                <c:pt idx="51">
                  <c:v>257</c:v>
                </c:pt>
                <c:pt idx="52">
                  <c:v>265</c:v>
                </c:pt>
                <c:pt idx="53">
                  <c:v>275</c:v>
                </c:pt>
                <c:pt idx="54">
                  <c:v>285</c:v>
                </c:pt>
                <c:pt idx="55">
                  <c:v>294</c:v>
                </c:pt>
                <c:pt idx="56">
                  <c:v>310</c:v>
                </c:pt>
                <c:pt idx="57">
                  <c:v>326</c:v>
                </c:pt>
                <c:pt idx="58">
                  <c:v>327</c:v>
                </c:pt>
                <c:pt idx="59">
                  <c:v>337</c:v>
                </c:pt>
                <c:pt idx="60">
                  <c:v>354</c:v>
                </c:pt>
                <c:pt idx="61">
                  <c:v>365</c:v>
                </c:pt>
                <c:pt idx="62">
                  <c:v>390</c:v>
                </c:pt>
                <c:pt idx="63">
                  <c:v>387</c:v>
                </c:pt>
                <c:pt idx="64">
                  <c:v>405</c:v>
                </c:pt>
                <c:pt idx="65">
                  <c:v>415</c:v>
                </c:pt>
                <c:pt idx="66">
                  <c:v>426</c:v>
                </c:pt>
                <c:pt idx="67">
                  <c:v>451</c:v>
                </c:pt>
                <c:pt idx="68">
                  <c:v>460</c:v>
                </c:pt>
                <c:pt idx="69">
                  <c:v>462</c:v>
                </c:pt>
                <c:pt idx="70">
                  <c:v>472</c:v>
                </c:pt>
                <c:pt idx="71">
                  <c:v>487</c:v>
                </c:pt>
                <c:pt idx="72">
                  <c:v>504</c:v>
                </c:pt>
                <c:pt idx="73">
                  <c:v>506</c:v>
                </c:pt>
                <c:pt idx="74">
                  <c:v>529</c:v>
                </c:pt>
                <c:pt idx="75">
                  <c:v>533</c:v>
                </c:pt>
                <c:pt idx="76">
                  <c:v>533</c:v>
                </c:pt>
                <c:pt idx="77">
                  <c:v>558</c:v>
                </c:pt>
                <c:pt idx="78">
                  <c:v>568</c:v>
                </c:pt>
                <c:pt idx="79">
                  <c:v>579</c:v>
                </c:pt>
                <c:pt idx="80">
                  <c:v>579</c:v>
                </c:pt>
                <c:pt idx="81">
                  <c:v>604</c:v>
                </c:pt>
                <c:pt idx="82">
                  <c:v>620</c:v>
                </c:pt>
                <c:pt idx="83">
                  <c:v>624</c:v>
                </c:pt>
                <c:pt idx="84">
                  <c:v>638</c:v>
                </c:pt>
                <c:pt idx="85">
                  <c:v>645</c:v>
                </c:pt>
                <c:pt idx="86">
                  <c:v>666</c:v>
                </c:pt>
                <c:pt idx="87">
                  <c:v>681</c:v>
                </c:pt>
                <c:pt idx="88">
                  <c:v>691</c:v>
                </c:pt>
                <c:pt idx="89">
                  <c:v>691</c:v>
                </c:pt>
                <c:pt idx="90">
                  <c:v>708</c:v>
                </c:pt>
                <c:pt idx="91">
                  <c:v>719</c:v>
                </c:pt>
                <c:pt idx="92">
                  <c:v>727</c:v>
                </c:pt>
                <c:pt idx="93">
                  <c:v>739</c:v>
                </c:pt>
                <c:pt idx="94">
                  <c:v>751</c:v>
                </c:pt>
                <c:pt idx="95">
                  <c:v>770</c:v>
                </c:pt>
                <c:pt idx="96">
                  <c:v>772</c:v>
                </c:pt>
                <c:pt idx="97">
                  <c:v>790</c:v>
                </c:pt>
                <c:pt idx="98">
                  <c:v>790</c:v>
                </c:pt>
                <c:pt idx="99">
                  <c:v>802</c:v>
                </c:pt>
                <c:pt idx="100">
                  <c:v>816</c:v>
                </c:pt>
                <c:pt idx="101">
                  <c:v>832</c:v>
                </c:pt>
                <c:pt idx="102">
                  <c:v>835</c:v>
                </c:pt>
                <c:pt idx="103">
                  <c:v>852</c:v>
                </c:pt>
                <c:pt idx="104">
                  <c:v>866</c:v>
                </c:pt>
                <c:pt idx="105">
                  <c:v>875</c:v>
                </c:pt>
                <c:pt idx="106">
                  <c:v>886</c:v>
                </c:pt>
                <c:pt idx="107">
                  <c:v>886</c:v>
                </c:pt>
                <c:pt idx="108">
                  <c:v>910</c:v>
                </c:pt>
                <c:pt idx="109">
                  <c:v>917</c:v>
                </c:pt>
                <c:pt idx="110">
                  <c:v>930</c:v>
                </c:pt>
                <c:pt idx="111">
                  <c:v>937</c:v>
                </c:pt>
                <c:pt idx="112">
                  <c:v>941</c:v>
                </c:pt>
                <c:pt idx="113">
                  <c:v>950</c:v>
                </c:pt>
                <c:pt idx="114">
                  <c:v>962</c:v>
                </c:pt>
                <c:pt idx="115">
                  <c:v>969</c:v>
                </c:pt>
                <c:pt idx="116">
                  <c:v>980</c:v>
                </c:pt>
                <c:pt idx="117">
                  <c:v>992</c:v>
                </c:pt>
                <c:pt idx="118">
                  <c:v>1006</c:v>
                </c:pt>
                <c:pt idx="119">
                  <c:v>1006</c:v>
                </c:pt>
                <c:pt idx="120">
                  <c:v>1024</c:v>
                </c:pt>
                <c:pt idx="121">
                  <c:v>1046</c:v>
                </c:pt>
                <c:pt idx="122">
                  <c:v>1119</c:v>
                </c:pt>
                <c:pt idx="123">
                  <c:v>1201</c:v>
                </c:pt>
                <c:pt idx="124">
                  <c:v>1289</c:v>
                </c:pt>
                <c:pt idx="125">
                  <c:v>1370</c:v>
                </c:pt>
                <c:pt idx="126">
                  <c:v>1465</c:v>
                </c:pt>
                <c:pt idx="127">
                  <c:v>1550</c:v>
                </c:pt>
                <c:pt idx="128">
                  <c:v>1605</c:v>
                </c:pt>
                <c:pt idx="129">
                  <c:v>1683</c:v>
                </c:pt>
                <c:pt idx="130">
                  <c:v>1752</c:v>
                </c:pt>
                <c:pt idx="131">
                  <c:v>1829</c:v>
                </c:pt>
                <c:pt idx="132">
                  <c:v>1943</c:v>
                </c:pt>
                <c:pt idx="133">
                  <c:v>2020</c:v>
                </c:pt>
                <c:pt idx="134">
                  <c:v>2066</c:v>
                </c:pt>
                <c:pt idx="135">
                  <c:v>2170</c:v>
                </c:pt>
                <c:pt idx="136">
                  <c:v>2210</c:v>
                </c:pt>
                <c:pt idx="137">
                  <c:v>2286</c:v>
                </c:pt>
                <c:pt idx="138">
                  <c:v>2362</c:v>
                </c:pt>
                <c:pt idx="139">
                  <c:v>2434</c:v>
                </c:pt>
                <c:pt idx="140">
                  <c:v>2504</c:v>
                </c:pt>
                <c:pt idx="141">
                  <c:v>2577</c:v>
                </c:pt>
                <c:pt idx="142">
                  <c:v>2721</c:v>
                </c:pt>
                <c:pt idx="143">
                  <c:v>2767</c:v>
                </c:pt>
                <c:pt idx="144">
                  <c:v>2789</c:v>
                </c:pt>
                <c:pt idx="145">
                  <c:v>2917</c:v>
                </c:pt>
                <c:pt idx="146">
                  <c:v>2973</c:v>
                </c:pt>
                <c:pt idx="147">
                  <c:v>3001</c:v>
                </c:pt>
                <c:pt idx="148">
                  <c:v>3121</c:v>
                </c:pt>
                <c:pt idx="149">
                  <c:v>3186</c:v>
                </c:pt>
                <c:pt idx="150">
                  <c:v>3203</c:v>
                </c:pt>
                <c:pt idx="151">
                  <c:v>3275</c:v>
                </c:pt>
                <c:pt idx="152">
                  <c:v>3351</c:v>
                </c:pt>
                <c:pt idx="153">
                  <c:v>3456</c:v>
                </c:pt>
                <c:pt idx="154">
                  <c:v>3490</c:v>
                </c:pt>
                <c:pt idx="155">
                  <c:v>3562</c:v>
                </c:pt>
                <c:pt idx="156">
                  <c:v>3629</c:v>
                </c:pt>
                <c:pt idx="157">
                  <c:v>3698</c:v>
                </c:pt>
                <c:pt idx="158">
                  <c:v>3816</c:v>
                </c:pt>
                <c:pt idx="159">
                  <c:v>3884</c:v>
                </c:pt>
                <c:pt idx="160">
                  <c:v>3913</c:v>
                </c:pt>
                <c:pt idx="161">
                  <c:v>4041</c:v>
                </c:pt>
                <c:pt idx="162">
                  <c:v>4057</c:v>
                </c:pt>
                <c:pt idx="163">
                  <c:v>4203</c:v>
                </c:pt>
                <c:pt idx="164">
                  <c:v>4285</c:v>
                </c:pt>
                <c:pt idx="165">
                  <c:v>4349</c:v>
                </c:pt>
                <c:pt idx="166">
                  <c:v>4361</c:v>
                </c:pt>
                <c:pt idx="167">
                  <c:v>4434</c:v>
                </c:pt>
                <c:pt idx="168">
                  <c:v>4438</c:v>
                </c:pt>
                <c:pt idx="169">
                  <c:v>4447</c:v>
                </c:pt>
                <c:pt idx="170">
                  <c:v>4465</c:v>
                </c:pt>
                <c:pt idx="171">
                  <c:v>4463</c:v>
                </c:pt>
                <c:pt idx="172">
                  <c:v>4481</c:v>
                </c:pt>
                <c:pt idx="173">
                  <c:v>4480</c:v>
                </c:pt>
                <c:pt idx="174">
                  <c:v>4488</c:v>
                </c:pt>
                <c:pt idx="175">
                  <c:v>4498</c:v>
                </c:pt>
                <c:pt idx="176">
                  <c:v>4505</c:v>
                </c:pt>
                <c:pt idx="177">
                  <c:v>4507</c:v>
                </c:pt>
                <c:pt idx="178">
                  <c:v>4507</c:v>
                </c:pt>
                <c:pt idx="179">
                  <c:v>4514</c:v>
                </c:pt>
                <c:pt idx="180">
                  <c:v>4522</c:v>
                </c:pt>
                <c:pt idx="181">
                  <c:v>4531</c:v>
                </c:pt>
                <c:pt idx="182">
                  <c:v>4543</c:v>
                </c:pt>
                <c:pt idx="183">
                  <c:v>4552</c:v>
                </c:pt>
                <c:pt idx="184">
                  <c:v>4544</c:v>
                </c:pt>
                <c:pt idx="185">
                  <c:v>4560</c:v>
                </c:pt>
                <c:pt idx="186">
                  <c:v>4561</c:v>
                </c:pt>
                <c:pt idx="187">
                  <c:v>4568</c:v>
                </c:pt>
                <c:pt idx="188">
                  <c:v>4583</c:v>
                </c:pt>
                <c:pt idx="189">
                  <c:v>4589</c:v>
                </c:pt>
                <c:pt idx="190">
                  <c:v>4595</c:v>
                </c:pt>
                <c:pt idx="191">
                  <c:v>4598</c:v>
                </c:pt>
                <c:pt idx="192">
                  <c:v>4606</c:v>
                </c:pt>
                <c:pt idx="193">
                  <c:v>4616</c:v>
                </c:pt>
                <c:pt idx="194">
                  <c:v>4617</c:v>
                </c:pt>
                <c:pt idx="195">
                  <c:v>4627</c:v>
                </c:pt>
                <c:pt idx="196">
                  <c:v>4635</c:v>
                </c:pt>
                <c:pt idx="197">
                  <c:v>4640</c:v>
                </c:pt>
                <c:pt idx="198">
                  <c:v>4654</c:v>
                </c:pt>
                <c:pt idx="199">
                  <c:v>4654</c:v>
                </c:pt>
                <c:pt idx="200">
                  <c:v>4660</c:v>
                </c:pt>
                <c:pt idx="201">
                  <c:v>4664</c:v>
                </c:pt>
                <c:pt idx="202">
                  <c:v>4680</c:v>
                </c:pt>
                <c:pt idx="203">
                  <c:v>4683</c:v>
                </c:pt>
                <c:pt idx="204">
                  <c:v>4691</c:v>
                </c:pt>
                <c:pt idx="205">
                  <c:v>4699</c:v>
                </c:pt>
                <c:pt idx="206">
                  <c:v>4708</c:v>
                </c:pt>
                <c:pt idx="207">
                  <c:v>4713</c:v>
                </c:pt>
                <c:pt idx="208">
                  <c:v>4730</c:v>
                </c:pt>
                <c:pt idx="209">
                  <c:v>4737</c:v>
                </c:pt>
                <c:pt idx="210">
                  <c:v>4746</c:v>
                </c:pt>
                <c:pt idx="211">
                  <c:v>4747</c:v>
                </c:pt>
                <c:pt idx="212">
                  <c:v>4757</c:v>
                </c:pt>
                <c:pt idx="213">
                  <c:v>4764</c:v>
                </c:pt>
                <c:pt idx="214">
                  <c:v>4774</c:v>
                </c:pt>
                <c:pt idx="215">
                  <c:v>4776</c:v>
                </c:pt>
                <c:pt idx="216">
                  <c:v>4786</c:v>
                </c:pt>
                <c:pt idx="217">
                  <c:v>4793</c:v>
                </c:pt>
                <c:pt idx="218">
                  <c:v>4804</c:v>
                </c:pt>
                <c:pt idx="219">
                  <c:v>4810</c:v>
                </c:pt>
                <c:pt idx="220">
                  <c:v>4818</c:v>
                </c:pt>
                <c:pt idx="221">
                  <c:v>4824</c:v>
                </c:pt>
                <c:pt idx="222">
                  <c:v>4831</c:v>
                </c:pt>
                <c:pt idx="223">
                  <c:v>4842</c:v>
                </c:pt>
                <c:pt idx="224">
                  <c:v>4853</c:v>
                </c:pt>
                <c:pt idx="225">
                  <c:v>4862</c:v>
                </c:pt>
                <c:pt idx="226">
                  <c:v>4866</c:v>
                </c:pt>
                <c:pt idx="227">
                  <c:v>4872</c:v>
                </c:pt>
                <c:pt idx="228">
                  <c:v>4872</c:v>
                </c:pt>
                <c:pt idx="229">
                  <c:v>4873</c:v>
                </c:pt>
                <c:pt idx="230">
                  <c:v>4872</c:v>
                </c:pt>
                <c:pt idx="231">
                  <c:v>4874</c:v>
                </c:pt>
                <c:pt idx="232">
                  <c:v>4872</c:v>
                </c:pt>
                <c:pt idx="233">
                  <c:v>4873</c:v>
                </c:pt>
                <c:pt idx="234">
                  <c:v>4872</c:v>
                </c:pt>
                <c:pt idx="235">
                  <c:v>4872</c:v>
                </c:pt>
                <c:pt idx="236">
                  <c:v>4872</c:v>
                </c:pt>
                <c:pt idx="237">
                  <c:v>4872</c:v>
                </c:pt>
                <c:pt idx="238">
                  <c:v>4873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46-4905-B7BD-756025324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882655"/>
        <c:axId val="318871615"/>
      </c:scatterChart>
      <c:valAx>
        <c:axId val="318882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871615"/>
        <c:crosses val="autoZero"/>
        <c:crossBetween val="midCat"/>
      </c:valAx>
      <c:valAx>
        <c:axId val="31887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882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Pbus/mW over n</a:t>
            </a:r>
          </a:p>
        </c:rich>
      </c:tx>
      <c:layout>
        <c:manualLayout>
          <c:xMode val="edge"/>
          <c:yMode val="edge"/>
          <c:x val="0.10475000000000004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'measurement data'!$F$2</c:f>
              <c:strCache>
                <c:ptCount val="1"/>
                <c:pt idx="0">
                  <c:v>Vgate
mV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'measurement data'!$A$3:$A$241</c:f>
              <c:numCache>
                <c:formatCode>General</c:formatCode>
                <c:ptCount val="2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130</c:v>
                </c:pt>
                <c:pt idx="122">
                  <c:v>140</c:v>
                </c:pt>
                <c:pt idx="123">
                  <c:v>150</c:v>
                </c:pt>
                <c:pt idx="124">
                  <c:v>160</c:v>
                </c:pt>
                <c:pt idx="125">
                  <c:v>170</c:v>
                </c:pt>
                <c:pt idx="126">
                  <c:v>180</c:v>
                </c:pt>
                <c:pt idx="127">
                  <c:v>190</c:v>
                </c:pt>
                <c:pt idx="128">
                  <c:v>200</c:v>
                </c:pt>
                <c:pt idx="129">
                  <c:v>210</c:v>
                </c:pt>
                <c:pt idx="130">
                  <c:v>220</c:v>
                </c:pt>
                <c:pt idx="131">
                  <c:v>230</c:v>
                </c:pt>
                <c:pt idx="132">
                  <c:v>240</c:v>
                </c:pt>
                <c:pt idx="133">
                  <c:v>250</c:v>
                </c:pt>
                <c:pt idx="134">
                  <c:v>260</c:v>
                </c:pt>
                <c:pt idx="135">
                  <c:v>270</c:v>
                </c:pt>
                <c:pt idx="136">
                  <c:v>280</c:v>
                </c:pt>
                <c:pt idx="137">
                  <c:v>290</c:v>
                </c:pt>
                <c:pt idx="138">
                  <c:v>300</c:v>
                </c:pt>
                <c:pt idx="139">
                  <c:v>310</c:v>
                </c:pt>
                <c:pt idx="140">
                  <c:v>320</c:v>
                </c:pt>
                <c:pt idx="141">
                  <c:v>330</c:v>
                </c:pt>
                <c:pt idx="142">
                  <c:v>340</c:v>
                </c:pt>
                <c:pt idx="143">
                  <c:v>350</c:v>
                </c:pt>
                <c:pt idx="144">
                  <c:v>360</c:v>
                </c:pt>
                <c:pt idx="145">
                  <c:v>370</c:v>
                </c:pt>
                <c:pt idx="146">
                  <c:v>380</c:v>
                </c:pt>
                <c:pt idx="147">
                  <c:v>390</c:v>
                </c:pt>
                <c:pt idx="148">
                  <c:v>400</c:v>
                </c:pt>
                <c:pt idx="149">
                  <c:v>410</c:v>
                </c:pt>
                <c:pt idx="150">
                  <c:v>420</c:v>
                </c:pt>
                <c:pt idx="151">
                  <c:v>430</c:v>
                </c:pt>
                <c:pt idx="152">
                  <c:v>440</c:v>
                </c:pt>
                <c:pt idx="153">
                  <c:v>450</c:v>
                </c:pt>
                <c:pt idx="154">
                  <c:v>460</c:v>
                </c:pt>
                <c:pt idx="155">
                  <c:v>470</c:v>
                </c:pt>
                <c:pt idx="156">
                  <c:v>480</c:v>
                </c:pt>
                <c:pt idx="157">
                  <c:v>490</c:v>
                </c:pt>
                <c:pt idx="158">
                  <c:v>500</c:v>
                </c:pt>
                <c:pt idx="159">
                  <c:v>510</c:v>
                </c:pt>
                <c:pt idx="160">
                  <c:v>520</c:v>
                </c:pt>
                <c:pt idx="161">
                  <c:v>530</c:v>
                </c:pt>
                <c:pt idx="162">
                  <c:v>540</c:v>
                </c:pt>
                <c:pt idx="163">
                  <c:v>550</c:v>
                </c:pt>
                <c:pt idx="164">
                  <c:v>560</c:v>
                </c:pt>
                <c:pt idx="165">
                  <c:v>570</c:v>
                </c:pt>
                <c:pt idx="166">
                  <c:v>580</c:v>
                </c:pt>
                <c:pt idx="167">
                  <c:v>581</c:v>
                </c:pt>
                <c:pt idx="168">
                  <c:v>582</c:v>
                </c:pt>
                <c:pt idx="169">
                  <c:v>583</c:v>
                </c:pt>
                <c:pt idx="170">
                  <c:v>584</c:v>
                </c:pt>
                <c:pt idx="171">
                  <c:v>585</c:v>
                </c:pt>
                <c:pt idx="172">
                  <c:v>586</c:v>
                </c:pt>
                <c:pt idx="173">
                  <c:v>587</c:v>
                </c:pt>
                <c:pt idx="174">
                  <c:v>588</c:v>
                </c:pt>
                <c:pt idx="175">
                  <c:v>589</c:v>
                </c:pt>
                <c:pt idx="176">
                  <c:v>590</c:v>
                </c:pt>
                <c:pt idx="177">
                  <c:v>590</c:v>
                </c:pt>
                <c:pt idx="178">
                  <c:v>591</c:v>
                </c:pt>
                <c:pt idx="179">
                  <c:v>592</c:v>
                </c:pt>
                <c:pt idx="180">
                  <c:v>593</c:v>
                </c:pt>
                <c:pt idx="181">
                  <c:v>594</c:v>
                </c:pt>
                <c:pt idx="182">
                  <c:v>595</c:v>
                </c:pt>
                <c:pt idx="183">
                  <c:v>596</c:v>
                </c:pt>
                <c:pt idx="184">
                  <c:v>597</c:v>
                </c:pt>
                <c:pt idx="185">
                  <c:v>598</c:v>
                </c:pt>
                <c:pt idx="186">
                  <c:v>599</c:v>
                </c:pt>
                <c:pt idx="187">
                  <c:v>600</c:v>
                </c:pt>
                <c:pt idx="188">
                  <c:v>601</c:v>
                </c:pt>
                <c:pt idx="189">
                  <c:v>602</c:v>
                </c:pt>
                <c:pt idx="190">
                  <c:v>603</c:v>
                </c:pt>
                <c:pt idx="191">
                  <c:v>604</c:v>
                </c:pt>
                <c:pt idx="192">
                  <c:v>605</c:v>
                </c:pt>
                <c:pt idx="193">
                  <c:v>606</c:v>
                </c:pt>
                <c:pt idx="194">
                  <c:v>607</c:v>
                </c:pt>
                <c:pt idx="195">
                  <c:v>608</c:v>
                </c:pt>
                <c:pt idx="196">
                  <c:v>609</c:v>
                </c:pt>
                <c:pt idx="197">
                  <c:v>610</c:v>
                </c:pt>
                <c:pt idx="198">
                  <c:v>611</c:v>
                </c:pt>
                <c:pt idx="199">
                  <c:v>612</c:v>
                </c:pt>
                <c:pt idx="200">
                  <c:v>613</c:v>
                </c:pt>
                <c:pt idx="201">
                  <c:v>614</c:v>
                </c:pt>
                <c:pt idx="202">
                  <c:v>615</c:v>
                </c:pt>
                <c:pt idx="203">
                  <c:v>616</c:v>
                </c:pt>
                <c:pt idx="204">
                  <c:v>617</c:v>
                </c:pt>
                <c:pt idx="205">
                  <c:v>618</c:v>
                </c:pt>
                <c:pt idx="206">
                  <c:v>619</c:v>
                </c:pt>
                <c:pt idx="207">
                  <c:v>620</c:v>
                </c:pt>
                <c:pt idx="208">
                  <c:v>621</c:v>
                </c:pt>
                <c:pt idx="209">
                  <c:v>622</c:v>
                </c:pt>
                <c:pt idx="210">
                  <c:v>623</c:v>
                </c:pt>
                <c:pt idx="211">
                  <c:v>624</c:v>
                </c:pt>
                <c:pt idx="212">
                  <c:v>625</c:v>
                </c:pt>
                <c:pt idx="213">
                  <c:v>626</c:v>
                </c:pt>
                <c:pt idx="214">
                  <c:v>627</c:v>
                </c:pt>
                <c:pt idx="215">
                  <c:v>628</c:v>
                </c:pt>
                <c:pt idx="216">
                  <c:v>629</c:v>
                </c:pt>
                <c:pt idx="217">
                  <c:v>630</c:v>
                </c:pt>
                <c:pt idx="218">
                  <c:v>631</c:v>
                </c:pt>
                <c:pt idx="219">
                  <c:v>632</c:v>
                </c:pt>
                <c:pt idx="220">
                  <c:v>633</c:v>
                </c:pt>
                <c:pt idx="221">
                  <c:v>634</c:v>
                </c:pt>
                <c:pt idx="222">
                  <c:v>635</c:v>
                </c:pt>
                <c:pt idx="223">
                  <c:v>636</c:v>
                </c:pt>
                <c:pt idx="224">
                  <c:v>637</c:v>
                </c:pt>
                <c:pt idx="225">
                  <c:v>638</c:v>
                </c:pt>
                <c:pt idx="226">
                  <c:v>639</c:v>
                </c:pt>
                <c:pt idx="227">
                  <c:v>640</c:v>
                </c:pt>
                <c:pt idx="228">
                  <c:v>640</c:v>
                </c:pt>
                <c:pt idx="229">
                  <c:v>641</c:v>
                </c:pt>
                <c:pt idx="230">
                  <c:v>642</c:v>
                </c:pt>
                <c:pt idx="231">
                  <c:v>643</c:v>
                </c:pt>
                <c:pt idx="232">
                  <c:v>644</c:v>
                </c:pt>
                <c:pt idx="233">
                  <c:v>645</c:v>
                </c:pt>
                <c:pt idx="234">
                  <c:v>646</c:v>
                </c:pt>
                <c:pt idx="235">
                  <c:v>647</c:v>
                </c:pt>
                <c:pt idx="236">
                  <c:v>648</c:v>
                </c:pt>
                <c:pt idx="237">
                  <c:v>649</c:v>
                </c:pt>
                <c:pt idx="238">
                  <c:v>650</c:v>
                </c:pt>
              </c:numCache>
            </c:numRef>
          </c:xVal>
          <c:yVal>
            <c:numRef>
              <c:f>'measurement data'!$I$3:$I$241</c:f>
              <c:numCache>
                <c:formatCode>0</c:formatCode>
                <c:ptCount val="2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</c:v>
                </c:pt>
                <c:pt idx="25">
                  <c:v>9</c:v>
                </c:pt>
                <c:pt idx="26">
                  <c:v>15</c:v>
                </c:pt>
                <c:pt idx="27">
                  <c:v>19</c:v>
                </c:pt>
                <c:pt idx="28">
                  <c:v>24</c:v>
                </c:pt>
                <c:pt idx="29">
                  <c:v>28</c:v>
                </c:pt>
                <c:pt idx="30">
                  <c:v>34</c:v>
                </c:pt>
                <c:pt idx="31">
                  <c:v>37</c:v>
                </c:pt>
                <c:pt idx="32">
                  <c:v>43</c:v>
                </c:pt>
                <c:pt idx="33">
                  <c:v>47</c:v>
                </c:pt>
                <c:pt idx="34">
                  <c:v>53</c:v>
                </c:pt>
                <c:pt idx="35">
                  <c:v>58</c:v>
                </c:pt>
                <c:pt idx="36">
                  <c:v>62</c:v>
                </c:pt>
                <c:pt idx="37">
                  <c:v>68</c:v>
                </c:pt>
                <c:pt idx="38">
                  <c:v>72</c:v>
                </c:pt>
                <c:pt idx="39">
                  <c:v>78</c:v>
                </c:pt>
                <c:pt idx="40">
                  <c:v>84</c:v>
                </c:pt>
                <c:pt idx="41">
                  <c:v>87</c:v>
                </c:pt>
                <c:pt idx="42">
                  <c:v>93</c:v>
                </c:pt>
                <c:pt idx="43">
                  <c:v>102</c:v>
                </c:pt>
                <c:pt idx="44">
                  <c:v>106</c:v>
                </c:pt>
                <c:pt idx="45">
                  <c:v>112</c:v>
                </c:pt>
                <c:pt idx="46">
                  <c:v>118</c:v>
                </c:pt>
                <c:pt idx="47">
                  <c:v>122</c:v>
                </c:pt>
                <c:pt idx="48">
                  <c:v>128</c:v>
                </c:pt>
                <c:pt idx="49">
                  <c:v>135</c:v>
                </c:pt>
                <c:pt idx="50">
                  <c:v>144</c:v>
                </c:pt>
                <c:pt idx="51">
                  <c:v>147</c:v>
                </c:pt>
                <c:pt idx="52">
                  <c:v>156</c:v>
                </c:pt>
                <c:pt idx="53">
                  <c:v>163</c:v>
                </c:pt>
                <c:pt idx="54">
                  <c:v>168</c:v>
                </c:pt>
                <c:pt idx="55">
                  <c:v>178</c:v>
                </c:pt>
                <c:pt idx="56">
                  <c:v>185</c:v>
                </c:pt>
                <c:pt idx="57">
                  <c:v>187</c:v>
                </c:pt>
                <c:pt idx="58">
                  <c:v>196</c:v>
                </c:pt>
                <c:pt idx="59">
                  <c:v>206</c:v>
                </c:pt>
                <c:pt idx="60">
                  <c:v>212</c:v>
                </c:pt>
                <c:pt idx="61">
                  <c:v>216</c:v>
                </c:pt>
                <c:pt idx="62">
                  <c:v>228</c:v>
                </c:pt>
                <c:pt idx="63">
                  <c:v>229</c:v>
                </c:pt>
                <c:pt idx="64">
                  <c:v>240</c:v>
                </c:pt>
                <c:pt idx="65">
                  <c:v>246</c:v>
                </c:pt>
                <c:pt idx="66">
                  <c:v>253</c:v>
                </c:pt>
                <c:pt idx="67">
                  <c:v>257</c:v>
                </c:pt>
                <c:pt idx="68">
                  <c:v>268</c:v>
                </c:pt>
                <c:pt idx="69">
                  <c:v>273</c:v>
                </c:pt>
                <c:pt idx="70">
                  <c:v>281</c:v>
                </c:pt>
                <c:pt idx="71">
                  <c:v>285</c:v>
                </c:pt>
                <c:pt idx="72">
                  <c:v>295</c:v>
                </c:pt>
                <c:pt idx="73">
                  <c:v>303</c:v>
                </c:pt>
                <c:pt idx="74">
                  <c:v>307</c:v>
                </c:pt>
                <c:pt idx="75">
                  <c:v>318</c:v>
                </c:pt>
                <c:pt idx="76">
                  <c:v>322</c:v>
                </c:pt>
                <c:pt idx="77">
                  <c:v>329</c:v>
                </c:pt>
                <c:pt idx="78">
                  <c:v>335</c:v>
                </c:pt>
                <c:pt idx="79">
                  <c:v>344</c:v>
                </c:pt>
                <c:pt idx="80">
                  <c:v>350</c:v>
                </c:pt>
                <c:pt idx="81">
                  <c:v>356</c:v>
                </c:pt>
                <c:pt idx="82">
                  <c:v>362</c:v>
                </c:pt>
                <c:pt idx="83">
                  <c:v>369</c:v>
                </c:pt>
                <c:pt idx="84">
                  <c:v>378</c:v>
                </c:pt>
                <c:pt idx="85">
                  <c:v>379</c:v>
                </c:pt>
                <c:pt idx="86">
                  <c:v>385</c:v>
                </c:pt>
                <c:pt idx="87">
                  <c:v>395</c:v>
                </c:pt>
                <c:pt idx="88">
                  <c:v>401</c:v>
                </c:pt>
                <c:pt idx="89">
                  <c:v>407</c:v>
                </c:pt>
                <c:pt idx="90">
                  <c:v>413</c:v>
                </c:pt>
                <c:pt idx="91">
                  <c:v>419</c:v>
                </c:pt>
                <c:pt idx="92">
                  <c:v>426</c:v>
                </c:pt>
                <c:pt idx="93">
                  <c:v>434</c:v>
                </c:pt>
                <c:pt idx="94">
                  <c:v>439</c:v>
                </c:pt>
                <c:pt idx="95">
                  <c:v>444</c:v>
                </c:pt>
                <c:pt idx="96">
                  <c:v>450</c:v>
                </c:pt>
                <c:pt idx="97">
                  <c:v>456</c:v>
                </c:pt>
                <c:pt idx="98">
                  <c:v>461</c:v>
                </c:pt>
                <c:pt idx="99">
                  <c:v>473</c:v>
                </c:pt>
                <c:pt idx="100">
                  <c:v>479</c:v>
                </c:pt>
                <c:pt idx="101">
                  <c:v>485</c:v>
                </c:pt>
                <c:pt idx="102">
                  <c:v>491</c:v>
                </c:pt>
                <c:pt idx="103">
                  <c:v>498</c:v>
                </c:pt>
                <c:pt idx="104">
                  <c:v>501</c:v>
                </c:pt>
                <c:pt idx="105">
                  <c:v>506</c:v>
                </c:pt>
                <c:pt idx="106">
                  <c:v>510</c:v>
                </c:pt>
                <c:pt idx="107">
                  <c:v>520</c:v>
                </c:pt>
                <c:pt idx="108">
                  <c:v>522</c:v>
                </c:pt>
                <c:pt idx="109">
                  <c:v>533</c:v>
                </c:pt>
                <c:pt idx="110">
                  <c:v>539</c:v>
                </c:pt>
                <c:pt idx="111">
                  <c:v>544</c:v>
                </c:pt>
                <c:pt idx="112">
                  <c:v>544</c:v>
                </c:pt>
                <c:pt idx="113">
                  <c:v>550</c:v>
                </c:pt>
                <c:pt idx="114">
                  <c:v>555</c:v>
                </c:pt>
                <c:pt idx="115">
                  <c:v>561</c:v>
                </c:pt>
                <c:pt idx="116">
                  <c:v>567</c:v>
                </c:pt>
                <c:pt idx="117">
                  <c:v>573</c:v>
                </c:pt>
                <c:pt idx="118">
                  <c:v>582</c:v>
                </c:pt>
                <c:pt idx="119">
                  <c:v>585</c:v>
                </c:pt>
                <c:pt idx="120">
                  <c:v>594</c:v>
                </c:pt>
                <c:pt idx="121">
                  <c:v>639</c:v>
                </c:pt>
                <c:pt idx="122">
                  <c:v>692</c:v>
                </c:pt>
                <c:pt idx="123">
                  <c:v>742</c:v>
                </c:pt>
                <c:pt idx="124">
                  <c:v>782</c:v>
                </c:pt>
                <c:pt idx="125">
                  <c:v>830</c:v>
                </c:pt>
                <c:pt idx="126">
                  <c:v>874</c:v>
                </c:pt>
                <c:pt idx="127">
                  <c:v>917</c:v>
                </c:pt>
                <c:pt idx="128">
                  <c:v>959</c:v>
                </c:pt>
                <c:pt idx="129">
                  <c:v>999</c:v>
                </c:pt>
                <c:pt idx="130">
                  <c:v>1049</c:v>
                </c:pt>
                <c:pt idx="131">
                  <c:v>1090</c:v>
                </c:pt>
                <c:pt idx="132">
                  <c:v>1131</c:v>
                </c:pt>
                <c:pt idx="133">
                  <c:v>1169</c:v>
                </c:pt>
                <c:pt idx="134">
                  <c:v>1219</c:v>
                </c:pt>
                <c:pt idx="135">
                  <c:v>1253</c:v>
                </c:pt>
                <c:pt idx="136">
                  <c:v>1300</c:v>
                </c:pt>
                <c:pt idx="137">
                  <c:v>1335</c:v>
                </c:pt>
                <c:pt idx="138">
                  <c:v>1380</c:v>
                </c:pt>
                <c:pt idx="139">
                  <c:v>1418</c:v>
                </c:pt>
                <c:pt idx="140">
                  <c:v>1457</c:v>
                </c:pt>
                <c:pt idx="141">
                  <c:v>1500</c:v>
                </c:pt>
                <c:pt idx="142">
                  <c:v>1538</c:v>
                </c:pt>
                <c:pt idx="143">
                  <c:v>1578</c:v>
                </c:pt>
                <c:pt idx="144">
                  <c:v>1613</c:v>
                </c:pt>
                <c:pt idx="145">
                  <c:v>1657</c:v>
                </c:pt>
                <c:pt idx="146">
                  <c:v>1691</c:v>
                </c:pt>
                <c:pt idx="147">
                  <c:v>1729</c:v>
                </c:pt>
                <c:pt idx="148">
                  <c:v>1770</c:v>
                </c:pt>
                <c:pt idx="149">
                  <c:v>1807</c:v>
                </c:pt>
                <c:pt idx="150">
                  <c:v>1842</c:v>
                </c:pt>
                <c:pt idx="151">
                  <c:v>1882</c:v>
                </c:pt>
                <c:pt idx="152">
                  <c:v>1922</c:v>
                </c:pt>
                <c:pt idx="153">
                  <c:v>1955</c:v>
                </c:pt>
                <c:pt idx="154">
                  <c:v>1998</c:v>
                </c:pt>
                <c:pt idx="155">
                  <c:v>2032</c:v>
                </c:pt>
                <c:pt idx="156">
                  <c:v>2073</c:v>
                </c:pt>
                <c:pt idx="157">
                  <c:v>2110</c:v>
                </c:pt>
                <c:pt idx="158">
                  <c:v>2148</c:v>
                </c:pt>
                <c:pt idx="159">
                  <c:v>2187</c:v>
                </c:pt>
                <c:pt idx="160">
                  <c:v>2230</c:v>
                </c:pt>
                <c:pt idx="161">
                  <c:v>2265</c:v>
                </c:pt>
                <c:pt idx="162">
                  <c:v>2308</c:v>
                </c:pt>
                <c:pt idx="163">
                  <c:v>2348</c:v>
                </c:pt>
                <c:pt idx="164">
                  <c:v>2386</c:v>
                </c:pt>
                <c:pt idx="165">
                  <c:v>2430</c:v>
                </c:pt>
                <c:pt idx="166">
                  <c:v>2468</c:v>
                </c:pt>
                <c:pt idx="167">
                  <c:v>2471</c:v>
                </c:pt>
                <c:pt idx="168">
                  <c:v>2478</c:v>
                </c:pt>
                <c:pt idx="169">
                  <c:v>2478</c:v>
                </c:pt>
                <c:pt idx="170">
                  <c:v>2484</c:v>
                </c:pt>
                <c:pt idx="171">
                  <c:v>2484</c:v>
                </c:pt>
                <c:pt idx="172">
                  <c:v>2491</c:v>
                </c:pt>
                <c:pt idx="173">
                  <c:v>2496</c:v>
                </c:pt>
                <c:pt idx="174">
                  <c:v>2497</c:v>
                </c:pt>
                <c:pt idx="175">
                  <c:v>2505</c:v>
                </c:pt>
                <c:pt idx="176">
                  <c:v>2506</c:v>
                </c:pt>
                <c:pt idx="177">
                  <c:v>2509</c:v>
                </c:pt>
                <c:pt idx="178">
                  <c:v>2509</c:v>
                </c:pt>
                <c:pt idx="179">
                  <c:v>2514</c:v>
                </c:pt>
                <c:pt idx="180">
                  <c:v>2515</c:v>
                </c:pt>
                <c:pt idx="181">
                  <c:v>2519</c:v>
                </c:pt>
                <c:pt idx="182">
                  <c:v>2515</c:v>
                </c:pt>
                <c:pt idx="183">
                  <c:v>2531</c:v>
                </c:pt>
                <c:pt idx="184">
                  <c:v>2531</c:v>
                </c:pt>
                <c:pt idx="185">
                  <c:v>2536</c:v>
                </c:pt>
                <c:pt idx="186">
                  <c:v>2540</c:v>
                </c:pt>
                <c:pt idx="187">
                  <c:v>2541</c:v>
                </c:pt>
                <c:pt idx="188">
                  <c:v>2546</c:v>
                </c:pt>
                <c:pt idx="189">
                  <c:v>2552</c:v>
                </c:pt>
                <c:pt idx="190">
                  <c:v>2552</c:v>
                </c:pt>
                <c:pt idx="191">
                  <c:v>2556</c:v>
                </c:pt>
                <c:pt idx="192">
                  <c:v>2559</c:v>
                </c:pt>
                <c:pt idx="193">
                  <c:v>2563</c:v>
                </c:pt>
                <c:pt idx="194">
                  <c:v>2569</c:v>
                </c:pt>
                <c:pt idx="195">
                  <c:v>2574</c:v>
                </c:pt>
                <c:pt idx="196">
                  <c:v>2578</c:v>
                </c:pt>
                <c:pt idx="197">
                  <c:v>2580</c:v>
                </c:pt>
                <c:pt idx="198">
                  <c:v>2581</c:v>
                </c:pt>
                <c:pt idx="199">
                  <c:v>2585</c:v>
                </c:pt>
                <c:pt idx="200">
                  <c:v>2590</c:v>
                </c:pt>
                <c:pt idx="201">
                  <c:v>2596</c:v>
                </c:pt>
                <c:pt idx="202">
                  <c:v>2600</c:v>
                </c:pt>
                <c:pt idx="203">
                  <c:v>2603</c:v>
                </c:pt>
                <c:pt idx="204">
                  <c:v>2606</c:v>
                </c:pt>
                <c:pt idx="205">
                  <c:v>2609</c:v>
                </c:pt>
                <c:pt idx="206">
                  <c:v>2613</c:v>
                </c:pt>
                <c:pt idx="207">
                  <c:v>2619</c:v>
                </c:pt>
                <c:pt idx="208">
                  <c:v>2624</c:v>
                </c:pt>
                <c:pt idx="209">
                  <c:v>2628</c:v>
                </c:pt>
                <c:pt idx="210">
                  <c:v>2634</c:v>
                </c:pt>
                <c:pt idx="211">
                  <c:v>2637</c:v>
                </c:pt>
                <c:pt idx="212">
                  <c:v>2641</c:v>
                </c:pt>
                <c:pt idx="213">
                  <c:v>2646</c:v>
                </c:pt>
                <c:pt idx="214">
                  <c:v>2650</c:v>
                </c:pt>
                <c:pt idx="215">
                  <c:v>2653</c:v>
                </c:pt>
                <c:pt idx="216">
                  <c:v>2657</c:v>
                </c:pt>
                <c:pt idx="217">
                  <c:v>2662</c:v>
                </c:pt>
                <c:pt idx="218">
                  <c:v>2666</c:v>
                </c:pt>
                <c:pt idx="219">
                  <c:v>2669</c:v>
                </c:pt>
                <c:pt idx="220">
                  <c:v>2674</c:v>
                </c:pt>
                <c:pt idx="221">
                  <c:v>2679</c:v>
                </c:pt>
                <c:pt idx="222">
                  <c:v>2684</c:v>
                </c:pt>
                <c:pt idx="223">
                  <c:v>2687</c:v>
                </c:pt>
                <c:pt idx="224">
                  <c:v>2691</c:v>
                </c:pt>
                <c:pt idx="225">
                  <c:v>2696</c:v>
                </c:pt>
                <c:pt idx="226">
                  <c:v>2700</c:v>
                </c:pt>
                <c:pt idx="227">
                  <c:v>2697</c:v>
                </c:pt>
                <c:pt idx="228">
                  <c:v>2700</c:v>
                </c:pt>
                <c:pt idx="229">
                  <c:v>2697</c:v>
                </c:pt>
                <c:pt idx="230">
                  <c:v>2700</c:v>
                </c:pt>
                <c:pt idx="231">
                  <c:v>2697</c:v>
                </c:pt>
                <c:pt idx="232">
                  <c:v>2697</c:v>
                </c:pt>
                <c:pt idx="233">
                  <c:v>2697</c:v>
                </c:pt>
                <c:pt idx="234">
                  <c:v>2697</c:v>
                </c:pt>
                <c:pt idx="235">
                  <c:v>2700</c:v>
                </c:pt>
                <c:pt idx="236">
                  <c:v>2700</c:v>
                </c:pt>
                <c:pt idx="237">
                  <c:v>2700</c:v>
                </c:pt>
                <c:pt idx="238">
                  <c:v>2700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BB-44F0-8F88-BEA5822A3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832735"/>
        <c:axId val="318833215"/>
      </c:scatterChart>
      <c:valAx>
        <c:axId val="31883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833215"/>
        <c:crosses val="autoZero"/>
        <c:crossBetween val="midCat"/>
      </c:valAx>
      <c:valAx>
        <c:axId val="31883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832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 bus (INA)/Ohm over n</a:t>
            </a:r>
          </a:p>
        </c:rich>
      </c:tx>
      <c:layout>
        <c:manualLayout>
          <c:xMode val="edge"/>
          <c:yMode val="edge"/>
          <c:x val="1.1534558180227509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'measurement data'!$N$2</c:f>
              <c:strCache>
                <c:ptCount val="1"/>
                <c:pt idx="0">
                  <c:v>R bus
(INA219)
Ohm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'measurement data'!$A$53:$A$241</c:f>
              <c:numCache>
                <c:formatCode>General</c:formatCode>
                <c:ptCount val="189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130</c:v>
                </c:pt>
                <c:pt idx="72">
                  <c:v>140</c:v>
                </c:pt>
                <c:pt idx="73">
                  <c:v>150</c:v>
                </c:pt>
                <c:pt idx="74">
                  <c:v>160</c:v>
                </c:pt>
                <c:pt idx="75">
                  <c:v>170</c:v>
                </c:pt>
                <c:pt idx="76">
                  <c:v>180</c:v>
                </c:pt>
                <c:pt idx="77">
                  <c:v>190</c:v>
                </c:pt>
                <c:pt idx="78">
                  <c:v>200</c:v>
                </c:pt>
                <c:pt idx="79">
                  <c:v>210</c:v>
                </c:pt>
                <c:pt idx="80">
                  <c:v>220</c:v>
                </c:pt>
                <c:pt idx="81">
                  <c:v>230</c:v>
                </c:pt>
                <c:pt idx="82">
                  <c:v>240</c:v>
                </c:pt>
                <c:pt idx="83">
                  <c:v>250</c:v>
                </c:pt>
                <c:pt idx="84">
                  <c:v>260</c:v>
                </c:pt>
                <c:pt idx="85">
                  <c:v>270</c:v>
                </c:pt>
                <c:pt idx="86">
                  <c:v>280</c:v>
                </c:pt>
                <c:pt idx="87">
                  <c:v>290</c:v>
                </c:pt>
                <c:pt idx="88">
                  <c:v>300</c:v>
                </c:pt>
                <c:pt idx="89">
                  <c:v>310</c:v>
                </c:pt>
                <c:pt idx="90">
                  <c:v>320</c:v>
                </c:pt>
                <c:pt idx="91">
                  <c:v>330</c:v>
                </c:pt>
                <c:pt idx="92">
                  <c:v>340</c:v>
                </c:pt>
                <c:pt idx="93">
                  <c:v>350</c:v>
                </c:pt>
                <c:pt idx="94">
                  <c:v>360</c:v>
                </c:pt>
                <c:pt idx="95">
                  <c:v>370</c:v>
                </c:pt>
                <c:pt idx="96">
                  <c:v>380</c:v>
                </c:pt>
                <c:pt idx="97">
                  <c:v>390</c:v>
                </c:pt>
                <c:pt idx="98">
                  <c:v>400</c:v>
                </c:pt>
                <c:pt idx="99">
                  <c:v>410</c:v>
                </c:pt>
                <c:pt idx="100">
                  <c:v>420</c:v>
                </c:pt>
                <c:pt idx="101">
                  <c:v>430</c:v>
                </c:pt>
                <c:pt idx="102">
                  <c:v>440</c:v>
                </c:pt>
                <c:pt idx="103">
                  <c:v>450</c:v>
                </c:pt>
                <c:pt idx="104">
                  <c:v>460</c:v>
                </c:pt>
                <c:pt idx="105">
                  <c:v>470</c:v>
                </c:pt>
                <c:pt idx="106">
                  <c:v>480</c:v>
                </c:pt>
                <c:pt idx="107">
                  <c:v>490</c:v>
                </c:pt>
                <c:pt idx="108">
                  <c:v>500</c:v>
                </c:pt>
                <c:pt idx="109">
                  <c:v>510</c:v>
                </c:pt>
                <c:pt idx="110">
                  <c:v>520</c:v>
                </c:pt>
                <c:pt idx="111">
                  <c:v>530</c:v>
                </c:pt>
                <c:pt idx="112">
                  <c:v>540</c:v>
                </c:pt>
                <c:pt idx="113">
                  <c:v>550</c:v>
                </c:pt>
                <c:pt idx="114">
                  <c:v>560</c:v>
                </c:pt>
                <c:pt idx="115">
                  <c:v>570</c:v>
                </c:pt>
                <c:pt idx="116">
                  <c:v>580</c:v>
                </c:pt>
                <c:pt idx="117">
                  <c:v>581</c:v>
                </c:pt>
                <c:pt idx="118">
                  <c:v>582</c:v>
                </c:pt>
                <c:pt idx="119">
                  <c:v>583</c:v>
                </c:pt>
                <c:pt idx="120">
                  <c:v>584</c:v>
                </c:pt>
                <c:pt idx="121">
                  <c:v>585</c:v>
                </c:pt>
                <c:pt idx="122">
                  <c:v>586</c:v>
                </c:pt>
                <c:pt idx="123">
                  <c:v>587</c:v>
                </c:pt>
                <c:pt idx="124">
                  <c:v>588</c:v>
                </c:pt>
                <c:pt idx="125">
                  <c:v>589</c:v>
                </c:pt>
                <c:pt idx="126">
                  <c:v>590</c:v>
                </c:pt>
                <c:pt idx="127">
                  <c:v>590</c:v>
                </c:pt>
                <c:pt idx="128">
                  <c:v>591</c:v>
                </c:pt>
                <c:pt idx="129">
                  <c:v>592</c:v>
                </c:pt>
                <c:pt idx="130">
                  <c:v>593</c:v>
                </c:pt>
                <c:pt idx="131">
                  <c:v>594</c:v>
                </c:pt>
                <c:pt idx="132">
                  <c:v>595</c:v>
                </c:pt>
                <c:pt idx="133">
                  <c:v>596</c:v>
                </c:pt>
                <c:pt idx="134">
                  <c:v>597</c:v>
                </c:pt>
                <c:pt idx="135">
                  <c:v>598</c:v>
                </c:pt>
                <c:pt idx="136">
                  <c:v>599</c:v>
                </c:pt>
                <c:pt idx="137">
                  <c:v>600</c:v>
                </c:pt>
                <c:pt idx="138">
                  <c:v>601</c:v>
                </c:pt>
                <c:pt idx="139">
                  <c:v>602</c:v>
                </c:pt>
                <c:pt idx="140">
                  <c:v>603</c:v>
                </c:pt>
                <c:pt idx="141">
                  <c:v>604</c:v>
                </c:pt>
                <c:pt idx="142">
                  <c:v>605</c:v>
                </c:pt>
                <c:pt idx="143">
                  <c:v>606</c:v>
                </c:pt>
                <c:pt idx="144">
                  <c:v>607</c:v>
                </c:pt>
                <c:pt idx="145">
                  <c:v>608</c:v>
                </c:pt>
                <c:pt idx="146">
                  <c:v>609</c:v>
                </c:pt>
                <c:pt idx="147">
                  <c:v>610</c:v>
                </c:pt>
                <c:pt idx="148">
                  <c:v>611</c:v>
                </c:pt>
                <c:pt idx="149">
                  <c:v>612</c:v>
                </c:pt>
                <c:pt idx="150">
                  <c:v>613</c:v>
                </c:pt>
                <c:pt idx="151">
                  <c:v>614</c:v>
                </c:pt>
                <c:pt idx="152">
                  <c:v>615</c:v>
                </c:pt>
                <c:pt idx="153">
                  <c:v>616</c:v>
                </c:pt>
                <c:pt idx="154">
                  <c:v>617</c:v>
                </c:pt>
                <c:pt idx="155">
                  <c:v>618</c:v>
                </c:pt>
                <c:pt idx="156">
                  <c:v>619</c:v>
                </c:pt>
                <c:pt idx="157">
                  <c:v>620</c:v>
                </c:pt>
                <c:pt idx="158">
                  <c:v>621</c:v>
                </c:pt>
                <c:pt idx="159">
                  <c:v>622</c:v>
                </c:pt>
                <c:pt idx="160">
                  <c:v>623</c:v>
                </c:pt>
                <c:pt idx="161">
                  <c:v>624</c:v>
                </c:pt>
                <c:pt idx="162">
                  <c:v>625</c:v>
                </c:pt>
                <c:pt idx="163">
                  <c:v>626</c:v>
                </c:pt>
                <c:pt idx="164">
                  <c:v>627</c:v>
                </c:pt>
                <c:pt idx="165">
                  <c:v>628</c:v>
                </c:pt>
                <c:pt idx="166">
                  <c:v>629</c:v>
                </c:pt>
                <c:pt idx="167">
                  <c:v>630</c:v>
                </c:pt>
                <c:pt idx="168">
                  <c:v>631</c:v>
                </c:pt>
                <c:pt idx="169">
                  <c:v>632</c:v>
                </c:pt>
                <c:pt idx="170">
                  <c:v>633</c:v>
                </c:pt>
                <c:pt idx="171">
                  <c:v>634</c:v>
                </c:pt>
                <c:pt idx="172">
                  <c:v>635</c:v>
                </c:pt>
                <c:pt idx="173">
                  <c:v>636</c:v>
                </c:pt>
                <c:pt idx="174">
                  <c:v>637</c:v>
                </c:pt>
                <c:pt idx="175">
                  <c:v>638</c:v>
                </c:pt>
                <c:pt idx="176">
                  <c:v>639</c:v>
                </c:pt>
                <c:pt idx="177">
                  <c:v>640</c:v>
                </c:pt>
                <c:pt idx="178">
                  <c:v>640</c:v>
                </c:pt>
                <c:pt idx="179">
                  <c:v>641</c:v>
                </c:pt>
                <c:pt idx="180">
                  <c:v>642</c:v>
                </c:pt>
                <c:pt idx="181">
                  <c:v>643</c:v>
                </c:pt>
                <c:pt idx="182">
                  <c:v>644</c:v>
                </c:pt>
                <c:pt idx="183">
                  <c:v>645</c:v>
                </c:pt>
                <c:pt idx="184">
                  <c:v>646</c:v>
                </c:pt>
                <c:pt idx="185">
                  <c:v>647</c:v>
                </c:pt>
                <c:pt idx="186">
                  <c:v>648</c:v>
                </c:pt>
                <c:pt idx="187">
                  <c:v>649</c:v>
                </c:pt>
                <c:pt idx="188">
                  <c:v>650</c:v>
                </c:pt>
              </c:numCache>
            </c:numRef>
          </c:xVal>
          <c:yVal>
            <c:numRef>
              <c:f>'measurement data'!$N$50:$N$241</c:f>
              <c:numCache>
                <c:formatCode>0.00</c:formatCode>
                <c:ptCount val="192"/>
                <c:pt idx="0">
                  <c:v>298.60000000000002</c:v>
                </c:pt>
                <c:pt idx="1">
                  <c:v>284.38095238095241</c:v>
                </c:pt>
                <c:pt idx="2">
                  <c:v>271.45454545454544</c:v>
                </c:pt>
                <c:pt idx="3">
                  <c:v>248.83333333333334</c:v>
                </c:pt>
                <c:pt idx="4">
                  <c:v>248.66666666666666</c:v>
                </c:pt>
                <c:pt idx="5">
                  <c:v>229.53846153846155</c:v>
                </c:pt>
                <c:pt idx="6">
                  <c:v>221.03703703703704</c:v>
                </c:pt>
                <c:pt idx="7">
                  <c:v>213.14285714285714</c:v>
                </c:pt>
                <c:pt idx="8">
                  <c:v>205.79310344827587</c:v>
                </c:pt>
                <c:pt idx="9">
                  <c:v>192.51612903225808</c:v>
                </c:pt>
                <c:pt idx="10">
                  <c:v>192.38709677419354</c:v>
                </c:pt>
                <c:pt idx="11">
                  <c:v>186.375</c:v>
                </c:pt>
                <c:pt idx="12">
                  <c:v>175.41176470588235</c:v>
                </c:pt>
                <c:pt idx="13">
                  <c:v>170.4</c:v>
                </c:pt>
                <c:pt idx="14">
                  <c:v>165.66666666666666</c:v>
                </c:pt>
                <c:pt idx="15">
                  <c:v>156.94736842105263</c:v>
                </c:pt>
                <c:pt idx="16">
                  <c:v>156.94736842105263</c:v>
                </c:pt>
                <c:pt idx="17">
                  <c:v>149.1</c:v>
                </c:pt>
                <c:pt idx="18">
                  <c:v>145.36585365853659</c:v>
                </c:pt>
                <c:pt idx="19">
                  <c:v>141.9047619047619</c:v>
                </c:pt>
                <c:pt idx="20">
                  <c:v>138.6046511627907</c:v>
                </c:pt>
                <c:pt idx="21">
                  <c:v>135.45454545454547</c:v>
                </c:pt>
                <c:pt idx="22">
                  <c:v>132.35555555555555</c:v>
                </c:pt>
                <c:pt idx="23">
                  <c:v>126.72340425531915</c:v>
                </c:pt>
                <c:pt idx="24">
                  <c:v>126.72340425531915</c:v>
                </c:pt>
                <c:pt idx="25">
                  <c:v>121.55102040816327</c:v>
                </c:pt>
                <c:pt idx="26">
                  <c:v>119.12</c:v>
                </c:pt>
                <c:pt idx="27">
                  <c:v>116.78431372549019</c:v>
                </c:pt>
                <c:pt idx="28">
                  <c:v>112.37735849056604</c:v>
                </c:pt>
                <c:pt idx="29">
                  <c:v>110.22222222222223</c:v>
                </c:pt>
                <c:pt idx="30">
                  <c:v>108.21818181818182</c:v>
                </c:pt>
                <c:pt idx="31">
                  <c:v>106.28571428571429</c:v>
                </c:pt>
                <c:pt idx="32">
                  <c:v>104.42105263157895</c:v>
                </c:pt>
                <c:pt idx="33">
                  <c:v>102.62068965517241</c:v>
                </c:pt>
                <c:pt idx="34">
                  <c:v>100.88135593220339</c:v>
                </c:pt>
                <c:pt idx="35">
                  <c:v>99.13333333333334</c:v>
                </c:pt>
                <c:pt idx="36">
                  <c:v>95.935483870967744</c:v>
                </c:pt>
                <c:pt idx="37">
                  <c:v>94.412698412698418</c:v>
                </c:pt>
                <c:pt idx="38">
                  <c:v>94.412698412698418</c:v>
                </c:pt>
                <c:pt idx="39">
                  <c:v>92.9375</c:v>
                </c:pt>
                <c:pt idx="40">
                  <c:v>90.121212121212125</c:v>
                </c:pt>
                <c:pt idx="41">
                  <c:v>88.71641791044776</c:v>
                </c:pt>
                <c:pt idx="42">
                  <c:v>87.411764705882348</c:v>
                </c:pt>
                <c:pt idx="43">
                  <c:v>86.14492753623189</c:v>
                </c:pt>
                <c:pt idx="44">
                  <c:v>84.914285714285711</c:v>
                </c:pt>
                <c:pt idx="45">
                  <c:v>83.718309859154928</c:v>
                </c:pt>
                <c:pt idx="46">
                  <c:v>82.555555555555557</c:v>
                </c:pt>
                <c:pt idx="47">
                  <c:v>81.369863013698634</c:v>
                </c:pt>
                <c:pt idx="48">
                  <c:v>80.270270270270274</c:v>
                </c:pt>
                <c:pt idx="49">
                  <c:v>79.2</c:v>
                </c:pt>
                <c:pt idx="50">
                  <c:v>78.15789473684211</c:v>
                </c:pt>
                <c:pt idx="51">
                  <c:v>77.142857142857139</c:v>
                </c:pt>
                <c:pt idx="52">
                  <c:v>75.189873417721515</c:v>
                </c:pt>
                <c:pt idx="53">
                  <c:v>74.2</c:v>
                </c:pt>
                <c:pt idx="54">
                  <c:v>73.283950617283949</c:v>
                </c:pt>
                <c:pt idx="55">
                  <c:v>72.390243902439025</c:v>
                </c:pt>
                <c:pt idx="56">
                  <c:v>71.518072289156621</c:v>
                </c:pt>
                <c:pt idx="57">
                  <c:v>70.666666666666671</c:v>
                </c:pt>
                <c:pt idx="58">
                  <c:v>69.835294117647052</c:v>
                </c:pt>
                <c:pt idx="59">
                  <c:v>69.023255813953483</c:v>
                </c:pt>
                <c:pt idx="60">
                  <c:v>68.183908045977006</c:v>
                </c:pt>
                <c:pt idx="61">
                  <c:v>67.454545454545453</c:v>
                </c:pt>
                <c:pt idx="62">
                  <c:v>66.651685393258433</c:v>
                </c:pt>
                <c:pt idx="63">
                  <c:v>65.911111111111111</c:v>
                </c:pt>
                <c:pt idx="64">
                  <c:v>65.186813186813183</c:v>
                </c:pt>
                <c:pt idx="65">
                  <c:v>65.186813186813183</c:v>
                </c:pt>
                <c:pt idx="66">
                  <c:v>64.478260869565219</c:v>
                </c:pt>
                <c:pt idx="67">
                  <c:v>63.784946236559136</c:v>
                </c:pt>
                <c:pt idx="68">
                  <c:v>63.106382978723403</c:v>
                </c:pt>
                <c:pt idx="69">
                  <c:v>62.4</c:v>
                </c:pt>
                <c:pt idx="70">
                  <c:v>61.75</c:v>
                </c:pt>
                <c:pt idx="71">
                  <c:v>60.489795918367349</c:v>
                </c:pt>
                <c:pt idx="72">
                  <c:v>60.489795918367349</c:v>
                </c:pt>
                <c:pt idx="73">
                  <c:v>59.28</c:v>
                </c:pt>
                <c:pt idx="74">
                  <c:v>55.364485981308412</c:v>
                </c:pt>
                <c:pt idx="75">
                  <c:v>51.03448275862069</c:v>
                </c:pt>
                <c:pt idx="76">
                  <c:v>47.328000000000003</c:v>
                </c:pt>
                <c:pt idx="77">
                  <c:v>44.787878787878789</c:v>
                </c:pt>
                <c:pt idx="78">
                  <c:v>42.171428571428571</c:v>
                </c:pt>
                <c:pt idx="79">
                  <c:v>40.136054421768705</c:v>
                </c:pt>
                <c:pt idx="80">
                  <c:v>38.064516129032256</c:v>
                </c:pt>
                <c:pt idx="81">
                  <c:v>36.395061728395063</c:v>
                </c:pt>
                <c:pt idx="82">
                  <c:v>34.863905325443788</c:v>
                </c:pt>
                <c:pt idx="83">
                  <c:v>33.056179775280896</c:v>
                </c:pt>
                <c:pt idx="84">
                  <c:v>31.805405405405406</c:v>
                </c:pt>
                <c:pt idx="85">
                  <c:v>30.604166666666668</c:v>
                </c:pt>
                <c:pt idx="86">
                  <c:v>29.507537688442213</c:v>
                </c:pt>
                <c:pt idx="87">
                  <c:v>28.367149758454108</c:v>
                </c:pt>
                <c:pt idx="88">
                  <c:v>27.530516431924884</c:v>
                </c:pt>
                <c:pt idx="89">
                  <c:v>26.5158371040724</c:v>
                </c:pt>
                <c:pt idx="90">
                  <c:v>25.701754385964911</c:v>
                </c:pt>
                <c:pt idx="91">
                  <c:v>24.902127659574468</c:v>
                </c:pt>
                <c:pt idx="92">
                  <c:v>24.181818181818183</c:v>
                </c:pt>
                <c:pt idx="93">
                  <c:v>23.485943775100402</c:v>
                </c:pt>
                <c:pt idx="94">
                  <c:v>22.828125</c:v>
                </c:pt>
                <c:pt idx="95">
                  <c:v>22.190114068441066</c:v>
                </c:pt>
                <c:pt idx="96">
                  <c:v>21.6</c:v>
                </c:pt>
                <c:pt idx="97">
                  <c:v>21.130434782608695</c:v>
                </c:pt>
                <c:pt idx="98">
                  <c:v>20.507042253521128</c:v>
                </c:pt>
                <c:pt idx="99">
                  <c:v>20.082758620689656</c:v>
                </c:pt>
                <c:pt idx="100">
                  <c:v>19.662162162162161</c:v>
                </c:pt>
                <c:pt idx="101">
                  <c:v>19.131578947368421</c:v>
                </c:pt>
                <c:pt idx="102">
                  <c:v>18.688102893890676</c:v>
                </c:pt>
                <c:pt idx="103">
                  <c:v>18.321766561514195</c:v>
                </c:pt>
                <c:pt idx="104">
                  <c:v>17.913580246913579</c:v>
                </c:pt>
                <c:pt idx="105">
                  <c:v>17.522658610271904</c:v>
                </c:pt>
                <c:pt idx="106">
                  <c:v>17.198813056379823</c:v>
                </c:pt>
                <c:pt idx="107">
                  <c:v>16.837209302325583</c:v>
                </c:pt>
                <c:pt idx="108">
                  <c:v>16.537142857142857</c:v>
                </c:pt>
                <c:pt idx="109">
                  <c:v>16.16759776536313</c:v>
                </c:pt>
                <c:pt idx="110">
                  <c:v>15.890109890109891</c:v>
                </c:pt>
                <c:pt idx="111">
                  <c:v>15.568733153638814</c:v>
                </c:pt>
                <c:pt idx="112">
                  <c:v>15.269841269841271</c:v>
                </c:pt>
                <c:pt idx="113">
                  <c:v>14.953367875647668</c:v>
                </c:pt>
                <c:pt idx="114">
                  <c:v>14.666666666666666</c:v>
                </c:pt>
                <c:pt idx="115">
                  <c:v>14.4</c:v>
                </c:pt>
                <c:pt idx="116">
                  <c:v>14.142506142506143</c:v>
                </c:pt>
                <c:pt idx="117">
                  <c:v>13.893719806763285</c:v>
                </c:pt>
                <c:pt idx="118">
                  <c:v>13.62085308056872</c:v>
                </c:pt>
                <c:pt idx="119">
                  <c:v>13.389277389277389</c:v>
                </c:pt>
                <c:pt idx="120">
                  <c:v>13.348837209302326</c:v>
                </c:pt>
                <c:pt idx="121">
                  <c:v>13.327146171693736</c:v>
                </c:pt>
                <c:pt idx="122">
                  <c:v>13.327146171693736</c:v>
                </c:pt>
                <c:pt idx="123">
                  <c:v>13.287037037037036</c:v>
                </c:pt>
                <c:pt idx="124">
                  <c:v>13.287037037037036</c:v>
                </c:pt>
                <c:pt idx="125">
                  <c:v>13.225806451612904</c:v>
                </c:pt>
                <c:pt idx="126">
                  <c:v>13.225806451612904</c:v>
                </c:pt>
                <c:pt idx="127">
                  <c:v>13.225806451612904</c:v>
                </c:pt>
                <c:pt idx="128">
                  <c:v>13.195402298850574</c:v>
                </c:pt>
                <c:pt idx="129">
                  <c:v>13.155963302752294</c:v>
                </c:pt>
                <c:pt idx="130">
                  <c:v>13.135011441647597</c:v>
                </c:pt>
                <c:pt idx="131">
                  <c:v>13.135011441647597</c:v>
                </c:pt>
                <c:pt idx="132">
                  <c:v>13.095890410958905</c:v>
                </c:pt>
                <c:pt idx="133">
                  <c:v>13.095890410958905</c:v>
                </c:pt>
                <c:pt idx="134">
                  <c:v>13.095890410958905</c:v>
                </c:pt>
                <c:pt idx="135">
                  <c:v>13.066059225512529</c:v>
                </c:pt>
                <c:pt idx="136">
                  <c:v>13.006802721088436</c:v>
                </c:pt>
                <c:pt idx="137">
                  <c:v>13.006802721088436</c:v>
                </c:pt>
                <c:pt idx="138">
                  <c:v>12.97737556561086</c:v>
                </c:pt>
                <c:pt idx="139">
                  <c:v>12.97737556561086</c:v>
                </c:pt>
                <c:pt idx="140">
                  <c:v>12.948081264108351</c:v>
                </c:pt>
                <c:pt idx="141">
                  <c:v>12.939051918735892</c:v>
                </c:pt>
                <c:pt idx="142">
                  <c:v>12.880898876404494</c:v>
                </c:pt>
                <c:pt idx="143">
                  <c:v>12.880898876404494</c:v>
                </c:pt>
                <c:pt idx="144">
                  <c:v>12.880898876404494</c:v>
                </c:pt>
                <c:pt idx="145">
                  <c:v>12.852017937219731</c:v>
                </c:pt>
                <c:pt idx="146">
                  <c:v>12.823266219239374</c:v>
                </c:pt>
                <c:pt idx="147">
                  <c:v>12.814317673378076</c:v>
                </c:pt>
                <c:pt idx="148">
                  <c:v>12.794642857142858</c:v>
                </c:pt>
                <c:pt idx="149">
                  <c:v>12.757238307349667</c:v>
                </c:pt>
                <c:pt idx="150">
                  <c:v>12.728888888888889</c:v>
                </c:pt>
                <c:pt idx="151">
                  <c:v>12.728888888888889</c:v>
                </c:pt>
                <c:pt idx="152">
                  <c:v>12.700665188470067</c:v>
                </c:pt>
                <c:pt idx="153">
                  <c:v>12.672566371681416</c:v>
                </c:pt>
                <c:pt idx="154">
                  <c:v>12.672566371681416</c:v>
                </c:pt>
                <c:pt idx="155">
                  <c:v>12.635761589403973</c:v>
                </c:pt>
                <c:pt idx="156">
                  <c:v>12.616740088105727</c:v>
                </c:pt>
                <c:pt idx="157">
                  <c:v>12.589010989010989</c:v>
                </c:pt>
                <c:pt idx="158">
                  <c:v>12.589010989010989</c:v>
                </c:pt>
                <c:pt idx="159">
                  <c:v>12.552631578947368</c:v>
                </c:pt>
                <c:pt idx="160">
                  <c:v>12.525164113785557</c:v>
                </c:pt>
                <c:pt idx="161">
                  <c:v>12.497816593886462</c:v>
                </c:pt>
                <c:pt idx="162">
                  <c:v>12.497816593886462</c:v>
                </c:pt>
                <c:pt idx="163">
                  <c:v>12.470588235294118</c:v>
                </c:pt>
                <c:pt idx="164">
                  <c:v>12.443478260869565</c:v>
                </c:pt>
                <c:pt idx="165">
                  <c:v>12.416485900216919</c:v>
                </c:pt>
                <c:pt idx="166">
                  <c:v>12.380952380952381</c:v>
                </c:pt>
                <c:pt idx="167">
                  <c:v>12.380952380952381</c:v>
                </c:pt>
                <c:pt idx="168">
                  <c:v>12.354211663066955</c:v>
                </c:pt>
                <c:pt idx="169">
                  <c:v>12.336206896551724</c:v>
                </c:pt>
                <c:pt idx="170">
                  <c:v>12.301075268817204</c:v>
                </c:pt>
                <c:pt idx="171">
                  <c:v>12.301075268817204</c:v>
                </c:pt>
                <c:pt idx="172">
                  <c:v>12.274678111587983</c:v>
                </c:pt>
                <c:pt idx="173">
                  <c:v>12.248394004282655</c:v>
                </c:pt>
                <c:pt idx="174">
                  <c:v>12.222222222222221</c:v>
                </c:pt>
                <c:pt idx="175">
                  <c:v>12.196162046908315</c:v>
                </c:pt>
                <c:pt idx="176">
                  <c:v>12.187633262260128</c:v>
                </c:pt>
                <c:pt idx="177">
                  <c:v>12.161702127659574</c:v>
                </c:pt>
                <c:pt idx="178">
                  <c:v>12.13588110403397</c:v>
                </c:pt>
                <c:pt idx="179">
                  <c:v>12.110169491525424</c:v>
                </c:pt>
                <c:pt idx="180">
                  <c:v>12.13588110403397</c:v>
                </c:pt>
                <c:pt idx="181">
                  <c:v>12.110169491525424</c:v>
                </c:pt>
                <c:pt idx="182">
                  <c:v>12.13588110403397</c:v>
                </c:pt>
                <c:pt idx="183">
                  <c:v>12.110169491525424</c:v>
                </c:pt>
                <c:pt idx="184">
                  <c:v>12.13588110403397</c:v>
                </c:pt>
                <c:pt idx="185">
                  <c:v>12.13588110403397</c:v>
                </c:pt>
                <c:pt idx="186">
                  <c:v>12.13588110403397</c:v>
                </c:pt>
                <c:pt idx="187">
                  <c:v>12.13588110403397</c:v>
                </c:pt>
                <c:pt idx="188">
                  <c:v>12.110169491525424</c:v>
                </c:pt>
                <c:pt idx="189">
                  <c:v>12.110169491525424</c:v>
                </c:pt>
                <c:pt idx="190">
                  <c:v>12.110169491525424</c:v>
                </c:pt>
                <c:pt idx="191">
                  <c:v>12.110169491525424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34-4A97-94CC-BF5CA0843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997247"/>
        <c:axId val="618020767"/>
      </c:scatterChart>
      <c:valAx>
        <c:axId val="617997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020767"/>
        <c:crosses val="autoZero"/>
        <c:crossBetween val="midCat"/>
      </c:valAx>
      <c:valAx>
        <c:axId val="61802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997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Ibus/mA over n</a:t>
            </a:r>
          </a:p>
        </c:rich>
      </c:tx>
      <c:layout>
        <c:manualLayout>
          <c:xMode val="edge"/>
          <c:yMode val="edge"/>
          <c:x val="0.10475000000000004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'measurement data'!$F$2</c:f>
              <c:strCache>
                <c:ptCount val="1"/>
                <c:pt idx="0">
                  <c:v>Vgate
mV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'measurement data'!$A$3:$A$241</c:f>
              <c:numCache>
                <c:formatCode>General</c:formatCode>
                <c:ptCount val="2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130</c:v>
                </c:pt>
                <c:pt idx="122">
                  <c:v>140</c:v>
                </c:pt>
                <c:pt idx="123">
                  <c:v>150</c:v>
                </c:pt>
                <c:pt idx="124">
                  <c:v>160</c:v>
                </c:pt>
                <c:pt idx="125">
                  <c:v>170</c:v>
                </c:pt>
                <c:pt idx="126">
                  <c:v>180</c:v>
                </c:pt>
                <c:pt idx="127">
                  <c:v>190</c:v>
                </c:pt>
                <c:pt idx="128">
                  <c:v>200</c:v>
                </c:pt>
                <c:pt idx="129">
                  <c:v>210</c:v>
                </c:pt>
                <c:pt idx="130">
                  <c:v>220</c:v>
                </c:pt>
                <c:pt idx="131">
                  <c:v>230</c:v>
                </c:pt>
                <c:pt idx="132">
                  <c:v>240</c:v>
                </c:pt>
                <c:pt idx="133">
                  <c:v>250</c:v>
                </c:pt>
                <c:pt idx="134">
                  <c:v>260</c:v>
                </c:pt>
                <c:pt idx="135">
                  <c:v>270</c:v>
                </c:pt>
                <c:pt idx="136">
                  <c:v>280</c:v>
                </c:pt>
                <c:pt idx="137">
                  <c:v>290</c:v>
                </c:pt>
                <c:pt idx="138">
                  <c:v>300</c:v>
                </c:pt>
                <c:pt idx="139">
                  <c:v>310</c:v>
                </c:pt>
                <c:pt idx="140">
                  <c:v>320</c:v>
                </c:pt>
                <c:pt idx="141">
                  <c:v>330</c:v>
                </c:pt>
                <c:pt idx="142">
                  <c:v>340</c:v>
                </c:pt>
                <c:pt idx="143">
                  <c:v>350</c:v>
                </c:pt>
                <c:pt idx="144">
                  <c:v>360</c:v>
                </c:pt>
                <c:pt idx="145">
                  <c:v>370</c:v>
                </c:pt>
                <c:pt idx="146">
                  <c:v>380</c:v>
                </c:pt>
                <c:pt idx="147">
                  <c:v>390</c:v>
                </c:pt>
                <c:pt idx="148">
                  <c:v>400</c:v>
                </c:pt>
                <c:pt idx="149">
                  <c:v>410</c:v>
                </c:pt>
                <c:pt idx="150">
                  <c:v>420</c:v>
                </c:pt>
                <c:pt idx="151">
                  <c:v>430</c:v>
                </c:pt>
                <c:pt idx="152">
                  <c:v>440</c:v>
                </c:pt>
                <c:pt idx="153">
                  <c:v>450</c:v>
                </c:pt>
                <c:pt idx="154">
                  <c:v>460</c:v>
                </c:pt>
                <c:pt idx="155">
                  <c:v>470</c:v>
                </c:pt>
                <c:pt idx="156">
                  <c:v>480</c:v>
                </c:pt>
                <c:pt idx="157">
                  <c:v>490</c:v>
                </c:pt>
                <c:pt idx="158">
                  <c:v>500</c:v>
                </c:pt>
                <c:pt idx="159">
                  <c:v>510</c:v>
                </c:pt>
                <c:pt idx="160">
                  <c:v>520</c:v>
                </c:pt>
                <c:pt idx="161">
                  <c:v>530</c:v>
                </c:pt>
                <c:pt idx="162">
                  <c:v>540</c:v>
                </c:pt>
                <c:pt idx="163">
                  <c:v>550</c:v>
                </c:pt>
                <c:pt idx="164">
                  <c:v>560</c:v>
                </c:pt>
                <c:pt idx="165">
                  <c:v>570</c:v>
                </c:pt>
                <c:pt idx="166">
                  <c:v>580</c:v>
                </c:pt>
                <c:pt idx="167">
                  <c:v>581</c:v>
                </c:pt>
                <c:pt idx="168">
                  <c:v>582</c:v>
                </c:pt>
                <c:pt idx="169">
                  <c:v>583</c:v>
                </c:pt>
                <c:pt idx="170">
                  <c:v>584</c:v>
                </c:pt>
                <c:pt idx="171">
                  <c:v>585</c:v>
                </c:pt>
                <c:pt idx="172">
                  <c:v>586</c:v>
                </c:pt>
                <c:pt idx="173">
                  <c:v>587</c:v>
                </c:pt>
                <c:pt idx="174">
                  <c:v>588</c:v>
                </c:pt>
                <c:pt idx="175">
                  <c:v>589</c:v>
                </c:pt>
                <c:pt idx="176">
                  <c:v>590</c:v>
                </c:pt>
                <c:pt idx="177">
                  <c:v>590</c:v>
                </c:pt>
                <c:pt idx="178">
                  <c:v>591</c:v>
                </c:pt>
                <c:pt idx="179">
                  <c:v>592</c:v>
                </c:pt>
                <c:pt idx="180">
                  <c:v>593</c:v>
                </c:pt>
                <c:pt idx="181">
                  <c:v>594</c:v>
                </c:pt>
                <c:pt idx="182">
                  <c:v>595</c:v>
                </c:pt>
                <c:pt idx="183">
                  <c:v>596</c:v>
                </c:pt>
                <c:pt idx="184">
                  <c:v>597</c:v>
                </c:pt>
                <c:pt idx="185">
                  <c:v>598</c:v>
                </c:pt>
                <c:pt idx="186">
                  <c:v>599</c:v>
                </c:pt>
                <c:pt idx="187">
                  <c:v>600</c:v>
                </c:pt>
                <c:pt idx="188">
                  <c:v>601</c:v>
                </c:pt>
                <c:pt idx="189">
                  <c:v>602</c:v>
                </c:pt>
                <c:pt idx="190">
                  <c:v>603</c:v>
                </c:pt>
                <c:pt idx="191">
                  <c:v>604</c:v>
                </c:pt>
                <c:pt idx="192">
                  <c:v>605</c:v>
                </c:pt>
                <c:pt idx="193">
                  <c:v>606</c:v>
                </c:pt>
                <c:pt idx="194">
                  <c:v>607</c:v>
                </c:pt>
                <c:pt idx="195">
                  <c:v>608</c:v>
                </c:pt>
                <c:pt idx="196">
                  <c:v>609</c:v>
                </c:pt>
                <c:pt idx="197">
                  <c:v>610</c:v>
                </c:pt>
                <c:pt idx="198">
                  <c:v>611</c:v>
                </c:pt>
                <c:pt idx="199">
                  <c:v>612</c:v>
                </c:pt>
                <c:pt idx="200">
                  <c:v>613</c:v>
                </c:pt>
                <c:pt idx="201">
                  <c:v>614</c:v>
                </c:pt>
                <c:pt idx="202">
                  <c:v>615</c:v>
                </c:pt>
                <c:pt idx="203">
                  <c:v>616</c:v>
                </c:pt>
                <c:pt idx="204">
                  <c:v>617</c:v>
                </c:pt>
                <c:pt idx="205">
                  <c:v>618</c:v>
                </c:pt>
                <c:pt idx="206">
                  <c:v>619</c:v>
                </c:pt>
                <c:pt idx="207">
                  <c:v>620</c:v>
                </c:pt>
                <c:pt idx="208">
                  <c:v>621</c:v>
                </c:pt>
                <c:pt idx="209">
                  <c:v>622</c:v>
                </c:pt>
                <c:pt idx="210">
                  <c:v>623</c:v>
                </c:pt>
                <c:pt idx="211">
                  <c:v>624</c:v>
                </c:pt>
                <c:pt idx="212">
                  <c:v>625</c:v>
                </c:pt>
                <c:pt idx="213">
                  <c:v>626</c:v>
                </c:pt>
                <c:pt idx="214">
                  <c:v>627</c:v>
                </c:pt>
                <c:pt idx="215">
                  <c:v>628</c:v>
                </c:pt>
                <c:pt idx="216">
                  <c:v>629</c:v>
                </c:pt>
                <c:pt idx="217">
                  <c:v>630</c:v>
                </c:pt>
                <c:pt idx="218">
                  <c:v>631</c:v>
                </c:pt>
                <c:pt idx="219">
                  <c:v>632</c:v>
                </c:pt>
                <c:pt idx="220">
                  <c:v>633</c:v>
                </c:pt>
                <c:pt idx="221">
                  <c:v>634</c:v>
                </c:pt>
                <c:pt idx="222">
                  <c:v>635</c:v>
                </c:pt>
                <c:pt idx="223">
                  <c:v>636</c:v>
                </c:pt>
                <c:pt idx="224">
                  <c:v>637</c:v>
                </c:pt>
                <c:pt idx="225">
                  <c:v>638</c:v>
                </c:pt>
                <c:pt idx="226">
                  <c:v>639</c:v>
                </c:pt>
                <c:pt idx="227">
                  <c:v>640</c:v>
                </c:pt>
                <c:pt idx="228">
                  <c:v>640</c:v>
                </c:pt>
                <c:pt idx="229">
                  <c:v>641</c:v>
                </c:pt>
                <c:pt idx="230">
                  <c:v>642</c:v>
                </c:pt>
                <c:pt idx="231">
                  <c:v>643</c:v>
                </c:pt>
                <c:pt idx="232">
                  <c:v>644</c:v>
                </c:pt>
                <c:pt idx="233">
                  <c:v>645</c:v>
                </c:pt>
                <c:pt idx="234">
                  <c:v>646</c:v>
                </c:pt>
                <c:pt idx="235">
                  <c:v>647</c:v>
                </c:pt>
                <c:pt idx="236">
                  <c:v>648</c:v>
                </c:pt>
                <c:pt idx="237">
                  <c:v>649</c:v>
                </c:pt>
                <c:pt idx="238">
                  <c:v>650</c:v>
                </c:pt>
              </c:numCache>
            </c:numRef>
          </c:xVal>
          <c:yVal>
            <c:numRef>
              <c:f>'measurement data'!$H$3:$H$241</c:f>
              <c:numCache>
                <c:formatCode>0</c:formatCode>
                <c:ptCount val="239"/>
                <c:pt idx="0">
                  <c:v>9.9999999999999995E-8</c:v>
                </c:pt>
                <c:pt idx="1">
                  <c:v>9.9999999999999995E-8</c:v>
                </c:pt>
                <c:pt idx="2">
                  <c:v>9.9999999999999995E-8</c:v>
                </c:pt>
                <c:pt idx="3">
                  <c:v>9.9999999999999995E-8</c:v>
                </c:pt>
                <c:pt idx="4">
                  <c:v>9.9999999999999995E-8</c:v>
                </c:pt>
                <c:pt idx="5">
                  <c:v>9.9999999999999995E-8</c:v>
                </c:pt>
                <c:pt idx="6">
                  <c:v>9.9999999999999995E-8</c:v>
                </c:pt>
                <c:pt idx="7">
                  <c:v>9.9999999999999995E-8</c:v>
                </c:pt>
                <c:pt idx="8">
                  <c:v>9.9999999999999995E-8</c:v>
                </c:pt>
                <c:pt idx="9">
                  <c:v>9.9999999999999995E-8</c:v>
                </c:pt>
                <c:pt idx="10">
                  <c:v>9.9999999999999995E-8</c:v>
                </c:pt>
                <c:pt idx="11">
                  <c:v>9.9999999999999995E-8</c:v>
                </c:pt>
                <c:pt idx="12">
                  <c:v>9.9999999999999995E-8</c:v>
                </c:pt>
                <c:pt idx="13">
                  <c:v>9.9999999999999995E-8</c:v>
                </c:pt>
                <c:pt idx="14">
                  <c:v>9.9999999999999995E-8</c:v>
                </c:pt>
                <c:pt idx="15">
                  <c:v>9.9999999999999995E-8</c:v>
                </c:pt>
                <c:pt idx="16">
                  <c:v>9.9999999999999995E-8</c:v>
                </c:pt>
                <c:pt idx="17">
                  <c:v>9.9999999999999995E-8</c:v>
                </c:pt>
                <c:pt idx="18">
                  <c:v>9.9999999999999995E-8</c:v>
                </c:pt>
                <c:pt idx="19">
                  <c:v>9.9999999999999995E-8</c:v>
                </c:pt>
                <c:pt idx="20">
                  <c:v>9.9999999999999995E-8</c:v>
                </c:pt>
                <c:pt idx="21">
                  <c:v>9.9999999999999995E-8</c:v>
                </c:pt>
                <c:pt idx="22">
                  <c:v>9.9999999999999995E-8</c:v>
                </c:pt>
                <c:pt idx="23">
                  <c:v>9.9999999999999995E-8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7</c:v>
                </c:pt>
                <c:pt idx="33">
                  <c:v>7</c:v>
                </c:pt>
                <c:pt idx="34">
                  <c:v>8</c:v>
                </c:pt>
                <c:pt idx="35">
                  <c:v>9</c:v>
                </c:pt>
                <c:pt idx="36">
                  <c:v>10</c:v>
                </c:pt>
                <c:pt idx="37">
                  <c:v>11</c:v>
                </c:pt>
                <c:pt idx="38">
                  <c:v>12</c:v>
                </c:pt>
                <c:pt idx="39">
                  <c:v>13</c:v>
                </c:pt>
                <c:pt idx="40">
                  <c:v>14</c:v>
                </c:pt>
                <c:pt idx="41">
                  <c:v>14</c:v>
                </c:pt>
                <c:pt idx="42">
                  <c:v>15</c:v>
                </c:pt>
                <c:pt idx="43">
                  <c:v>17</c:v>
                </c:pt>
                <c:pt idx="44">
                  <c:v>18</c:v>
                </c:pt>
                <c:pt idx="45">
                  <c:v>18</c:v>
                </c:pt>
                <c:pt idx="46">
                  <c:v>19</c:v>
                </c:pt>
                <c:pt idx="47">
                  <c:v>20</c:v>
                </c:pt>
                <c:pt idx="48">
                  <c:v>21</c:v>
                </c:pt>
                <c:pt idx="49">
                  <c:v>22</c:v>
                </c:pt>
                <c:pt idx="50">
                  <c:v>24</c:v>
                </c:pt>
                <c:pt idx="51">
                  <c:v>24</c:v>
                </c:pt>
                <c:pt idx="52">
                  <c:v>26</c:v>
                </c:pt>
                <c:pt idx="53">
                  <c:v>27</c:v>
                </c:pt>
                <c:pt idx="54">
                  <c:v>28</c:v>
                </c:pt>
                <c:pt idx="55">
                  <c:v>29</c:v>
                </c:pt>
                <c:pt idx="56">
                  <c:v>31</c:v>
                </c:pt>
                <c:pt idx="57">
                  <c:v>31</c:v>
                </c:pt>
                <c:pt idx="58">
                  <c:v>32</c:v>
                </c:pt>
                <c:pt idx="59">
                  <c:v>34</c:v>
                </c:pt>
                <c:pt idx="60">
                  <c:v>35</c:v>
                </c:pt>
                <c:pt idx="61">
                  <c:v>36</c:v>
                </c:pt>
                <c:pt idx="62">
                  <c:v>38</c:v>
                </c:pt>
                <c:pt idx="63">
                  <c:v>38</c:v>
                </c:pt>
                <c:pt idx="64">
                  <c:v>40</c:v>
                </c:pt>
                <c:pt idx="65">
                  <c:v>41</c:v>
                </c:pt>
                <c:pt idx="66">
                  <c:v>42</c:v>
                </c:pt>
                <c:pt idx="67">
                  <c:v>43</c:v>
                </c:pt>
                <c:pt idx="68">
                  <c:v>44</c:v>
                </c:pt>
                <c:pt idx="69">
                  <c:v>45</c:v>
                </c:pt>
                <c:pt idx="70">
                  <c:v>47</c:v>
                </c:pt>
                <c:pt idx="71">
                  <c:v>47</c:v>
                </c:pt>
                <c:pt idx="72">
                  <c:v>49</c:v>
                </c:pt>
                <c:pt idx="73">
                  <c:v>50</c:v>
                </c:pt>
                <c:pt idx="74">
                  <c:v>51</c:v>
                </c:pt>
                <c:pt idx="75">
                  <c:v>53</c:v>
                </c:pt>
                <c:pt idx="76">
                  <c:v>54</c:v>
                </c:pt>
                <c:pt idx="77">
                  <c:v>55</c:v>
                </c:pt>
                <c:pt idx="78">
                  <c:v>56</c:v>
                </c:pt>
                <c:pt idx="79">
                  <c:v>57</c:v>
                </c:pt>
                <c:pt idx="80">
                  <c:v>58</c:v>
                </c:pt>
                <c:pt idx="81">
                  <c:v>59</c:v>
                </c:pt>
                <c:pt idx="82">
                  <c:v>60</c:v>
                </c:pt>
                <c:pt idx="83">
                  <c:v>62</c:v>
                </c:pt>
                <c:pt idx="84">
                  <c:v>63</c:v>
                </c:pt>
                <c:pt idx="85">
                  <c:v>63</c:v>
                </c:pt>
                <c:pt idx="86">
                  <c:v>64</c:v>
                </c:pt>
                <c:pt idx="87">
                  <c:v>66</c:v>
                </c:pt>
                <c:pt idx="88">
                  <c:v>67</c:v>
                </c:pt>
                <c:pt idx="89">
                  <c:v>68</c:v>
                </c:pt>
                <c:pt idx="90">
                  <c:v>69</c:v>
                </c:pt>
                <c:pt idx="91">
                  <c:v>70</c:v>
                </c:pt>
                <c:pt idx="92">
                  <c:v>71</c:v>
                </c:pt>
                <c:pt idx="93">
                  <c:v>72</c:v>
                </c:pt>
                <c:pt idx="94">
                  <c:v>73</c:v>
                </c:pt>
                <c:pt idx="95">
                  <c:v>74</c:v>
                </c:pt>
                <c:pt idx="96">
                  <c:v>75</c:v>
                </c:pt>
                <c:pt idx="97">
                  <c:v>76</c:v>
                </c:pt>
                <c:pt idx="98">
                  <c:v>77</c:v>
                </c:pt>
                <c:pt idx="99">
                  <c:v>79</c:v>
                </c:pt>
                <c:pt idx="100">
                  <c:v>80</c:v>
                </c:pt>
                <c:pt idx="101">
                  <c:v>81</c:v>
                </c:pt>
                <c:pt idx="102">
                  <c:v>82</c:v>
                </c:pt>
                <c:pt idx="103">
                  <c:v>83</c:v>
                </c:pt>
                <c:pt idx="104">
                  <c:v>84</c:v>
                </c:pt>
                <c:pt idx="105">
                  <c:v>85</c:v>
                </c:pt>
                <c:pt idx="106">
                  <c:v>86</c:v>
                </c:pt>
                <c:pt idx="107">
                  <c:v>87</c:v>
                </c:pt>
                <c:pt idx="108">
                  <c:v>88</c:v>
                </c:pt>
                <c:pt idx="109">
                  <c:v>89</c:v>
                </c:pt>
                <c:pt idx="110">
                  <c:v>90</c:v>
                </c:pt>
                <c:pt idx="111">
                  <c:v>91</c:v>
                </c:pt>
                <c:pt idx="112">
                  <c:v>91</c:v>
                </c:pt>
                <c:pt idx="113">
                  <c:v>92</c:v>
                </c:pt>
                <c:pt idx="114">
                  <c:v>93</c:v>
                </c:pt>
                <c:pt idx="115">
                  <c:v>94</c:v>
                </c:pt>
                <c:pt idx="116">
                  <c:v>95</c:v>
                </c:pt>
                <c:pt idx="117">
                  <c:v>96</c:v>
                </c:pt>
                <c:pt idx="118">
                  <c:v>98</c:v>
                </c:pt>
                <c:pt idx="119">
                  <c:v>98</c:v>
                </c:pt>
                <c:pt idx="120">
                  <c:v>100</c:v>
                </c:pt>
                <c:pt idx="121">
                  <c:v>107</c:v>
                </c:pt>
                <c:pt idx="122">
                  <c:v>116</c:v>
                </c:pt>
                <c:pt idx="123">
                  <c:v>125</c:v>
                </c:pt>
                <c:pt idx="124">
                  <c:v>132</c:v>
                </c:pt>
                <c:pt idx="125">
                  <c:v>140</c:v>
                </c:pt>
                <c:pt idx="126">
                  <c:v>147</c:v>
                </c:pt>
                <c:pt idx="127">
                  <c:v>155</c:v>
                </c:pt>
                <c:pt idx="128">
                  <c:v>162</c:v>
                </c:pt>
                <c:pt idx="129">
                  <c:v>169</c:v>
                </c:pt>
                <c:pt idx="130">
                  <c:v>178</c:v>
                </c:pt>
                <c:pt idx="131">
                  <c:v>185</c:v>
                </c:pt>
                <c:pt idx="132">
                  <c:v>192</c:v>
                </c:pt>
                <c:pt idx="133">
                  <c:v>199</c:v>
                </c:pt>
                <c:pt idx="134">
                  <c:v>207</c:v>
                </c:pt>
                <c:pt idx="135">
                  <c:v>213</c:v>
                </c:pt>
                <c:pt idx="136">
                  <c:v>221</c:v>
                </c:pt>
                <c:pt idx="137">
                  <c:v>228</c:v>
                </c:pt>
                <c:pt idx="138">
                  <c:v>235</c:v>
                </c:pt>
                <c:pt idx="139">
                  <c:v>242</c:v>
                </c:pt>
                <c:pt idx="140">
                  <c:v>249</c:v>
                </c:pt>
                <c:pt idx="141">
                  <c:v>256</c:v>
                </c:pt>
                <c:pt idx="142">
                  <c:v>263</c:v>
                </c:pt>
                <c:pt idx="143">
                  <c:v>270</c:v>
                </c:pt>
                <c:pt idx="144">
                  <c:v>276</c:v>
                </c:pt>
                <c:pt idx="145">
                  <c:v>284</c:v>
                </c:pt>
                <c:pt idx="146">
                  <c:v>290</c:v>
                </c:pt>
                <c:pt idx="147">
                  <c:v>296</c:v>
                </c:pt>
                <c:pt idx="148">
                  <c:v>304</c:v>
                </c:pt>
                <c:pt idx="149">
                  <c:v>311</c:v>
                </c:pt>
                <c:pt idx="150">
                  <c:v>317</c:v>
                </c:pt>
                <c:pt idx="151">
                  <c:v>324</c:v>
                </c:pt>
                <c:pt idx="152">
                  <c:v>331</c:v>
                </c:pt>
                <c:pt idx="153">
                  <c:v>337</c:v>
                </c:pt>
                <c:pt idx="154">
                  <c:v>344</c:v>
                </c:pt>
                <c:pt idx="155">
                  <c:v>350</c:v>
                </c:pt>
                <c:pt idx="156">
                  <c:v>358</c:v>
                </c:pt>
                <c:pt idx="157">
                  <c:v>364</c:v>
                </c:pt>
                <c:pt idx="158">
                  <c:v>371</c:v>
                </c:pt>
                <c:pt idx="159">
                  <c:v>378</c:v>
                </c:pt>
                <c:pt idx="160">
                  <c:v>386</c:v>
                </c:pt>
                <c:pt idx="161">
                  <c:v>393</c:v>
                </c:pt>
                <c:pt idx="162">
                  <c:v>400</c:v>
                </c:pt>
                <c:pt idx="163">
                  <c:v>407</c:v>
                </c:pt>
                <c:pt idx="164">
                  <c:v>414</c:v>
                </c:pt>
                <c:pt idx="165">
                  <c:v>422</c:v>
                </c:pt>
                <c:pt idx="166">
                  <c:v>429</c:v>
                </c:pt>
                <c:pt idx="167">
                  <c:v>430</c:v>
                </c:pt>
                <c:pt idx="168">
                  <c:v>431</c:v>
                </c:pt>
                <c:pt idx="169">
                  <c:v>431</c:v>
                </c:pt>
                <c:pt idx="170">
                  <c:v>432</c:v>
                </c:pt>
                <c:pt idx="171">
                  <c:v>432</c:v>
                </c:pt>
                <c:pt idx="172">
                  <c:v>434</c:v>
                </c:pt>
                <c:pt idx="173">
                  <c:v>434</c:v>
                </c:pt>
                <c:pt idx="174">
                  <c:v>434</c:v>
                </c:pt>
                <c:pt idx="175">
                  <c:v>435</c:v>
                </c:pt>
                <c:pt idx="176">
                  <c:v>436</c:v>
                </c:pt>
                <c:pt idx="177">
                  <c:v>437</c:v>
                </c:pt>
                <c:pt idx="178">
                  <c:v>437</c:v>
                </c:pt>
                <c:pt idx="179">
                  <c:v>438</c:v>
                </c:pt>
                <c:pt idx="180">
                  <c:v>438</c:v>
                </c:pt>
                <c:pt idx="181">
                  <c:v>438</c:v>
                </c:pt>
                <c:pt idx="182">
                  <c:v>439</c:v>
                </c:pt>
                <c:pt idx="183">
                  <c:v>441</c:v>
                </c:pt>
                <c:pt idx="184">
                  <c:v>441</c:v>
                </c:pt>
                <c:pt idx="185">
                  <c:v>442</c:v>
                </c:pt>
                <c:pt idx="186">
                  <c:v>442</c:v>
                </c:pt>
                <c:pt idx="187">
                  <c:v>443</c:v>
                </c:pt>
                <c:pt idx="188">
                  <c:v>443</c:v>
                </c:pt>
                <c:pt idx="189">
                  <c:v>445</c:v>
                </c:pt>
                <c:pt idx="190">
                  <c:v>445</c:v>
                </c:pt>
                <c:pt idx="191">
                  <c:v>445</c:v>
                </c:pt>
                <c:pt idx="192">
                  <c:v>446</c:v>
                </c:pt>
                <c:pt idx="193">
                  <c:v>447</c:v>
                </c:pt>
                <c:pt idx="194">
                  <c:v>447</c:v>
                </c:pt>
                <c:pt idx="195">
                  <c:v>448</c:v>
                </c:pt>
                <c:pt idx="196">
                  <c:v>449</c:v>
                </c:pt>
                <c:pt idx="197">
                  <c:v>450</c:v>
                </c:pt>
                <c:pt idx="198">
                  <c:v>450</c:v>
                </c:pt>
                <c:pt idx="199">
                  <c:v>451</c:v>
                </c:pt>
                <c:pt idx="200">
                  <c:v>452</c:v>
                </c:pt>
                <c:pt idx="201">
                  <c:v>452</c:v>
                </c:pt>
                <c:pt idx="202">
                  <c:v>453</c:v>
                </c:pt>
                <c:pt idx="203">
                  <c:v>454</c:v>
                </c:pt>
                <c:pt idx="204">
                  <c:v>455</c:v>
                </c:pt>
                <c:pt idx="205">
                  <c:v>455</c:v>
                </c:pt>
                <c:pt idx="206">
                  <c:v>456</c:v>
                </c:pt>
                <c:pt idx="207">
                  <c:v>457</c:v>
                </c:pt>
                <c:pt idx="208">
                  <c:v>458</c:v>
                </c:pt>
                <c:pt idx="209">
                  <c:v>458</c:v>
                </c:pt>
                <c:pt idx="210">
                  <c:v>459</c:v>
                </c:pt>
                <c:pt idx="211">
                  <c:v>460</c:v>
                </c:pt>
                <c:pt idx="212">
                  <c:v>461</c:v>
                </c:pt>
                <c:pt idx="213">
                  <c:v>462</c:v>
                </c:pt>
                <c:pt idx="214">
                  <c:v>462</c:v>
                </c:pt>
                <c:pt idx="215">
                  <c:v>463</c:v>
                </c:pt>
                <c:pt idx="216">
                  <c:v>464</c:v>
                </c:pt>
                <c:pt idx="217">
                  <c:v>465</c:v>
                </c:pt>
                <c:pt idx="218">
                  <c:v>465</c:v>
                </c:pt>
                <c:pt idx="219">
                  <c:v>466</c:v>
                </c:pt>
                <c:pt idx="220">
                  <c:v>467</c:v>
                </c:pt>
                <c:pt idx="221">
                  <c:v>468</c:v>
                </c:pt>
                <c:pt idx="222">
                  <c:v>469</c:v>
                </c:pt>
                <c:pt idx="223">
                  <c:v>469</c:v>
                </c:pt>
                <c:pt idx="224">
                  <c:v>470</c:v>
                </c:pt>
                <c:pt idx="225">
                  <c:v>471</c:v>
                </c:pt>
                <c:pt idx="226">
                  <c:v>472</c:v>
                </c:pt>
                <c:pt idx="227">
                  <c:v>471</c:v>
                </c:pt>
                <c:pt idx="228">
                  <c:v>472</c:v>
                </c:pt>
                <c:pt idx="229">
                  <c:v>471</c:v>
                </c:pt>
                <c:pt idx="230">
                  <c:v>472</c:v>
                </c:pt>
                <c:pt idx="231">
                  <c:v>471</c:v>
                </c:pt>
                <c:pt idx="232">
                  <c:v>471</c:v>
                </c:pt>
                <c:pt idx="233">
                  <c:v>471</c:v>
                </c:pt>
                <c:pt idx="234">
                  <c:v>471</c:v>
                </c:pt>
                <c:pt idx="235">
                  <c:v>472</c:v>
                </c:pt>
                <c:pt idx="236">
                  <c:v>472</c:v>
                </c:pt>
                <c:pt idx="237">
                  <c:v>472</c:v>
                </c:pt>
                <c:pt idx="238">
                  <c:v>472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61-480D-84EB-1CB3E8C4E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832735"/>
        <c:axId val="318833215"/>
      </c:scatterChart>
      <c:valAx>
        <c:axId val="31883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833215"/>
        <c:crosses val="autoZero"/>
        <c:crossBetween val="midCat"/>
      </c:valAx>
      <c:valAx>
        <c:axId val="31883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832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Vbuas(INA)/mV over n</a:t>
            </a:r>
          </a:p>
        </c:rich>
      </c:tx>
      <c:layout>
        <c:manualLayout>
          <c:xMode val="edge"/>
          <c:yMode val="edge"/>
          <c:x val="9.0861111111111142E-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'measurement data'!$G$2</c:f>
              <c:strCache>
                <c:ptCount val="1"/>
                <c:pt idx="0">
                  <c:v>U bus
(INA219)
mV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'measurement data'!$A$3:$A$241</c:f>
              <c:numCache>
                <c:formatCode>General</c:formatCode>
                <c:ptCount val="2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130</c:v>
                </c:pt>
                <c:pt idx="122">
                  <c:v>140</c:v>
                </c:pt>
                <c:pt idx="123">
                  <c:v>150</c:v>
                </c:pt>
                <c:pt idx="124">
                  <c:v>160</c:v>
                </c:pt>
                <c:pt idx="125">
                  <c:v>170</c:v>
                </c:pt>
                <c:pt idx="126">
                  <c:v>180</c:v>
                </c:pt>
                <c:pt idx="127">
                  <c:v>190</c:v>
                </c:pt>
                <c:pt idx="128">
                  <c:v>200</c:v>
                </c:pt>
                <c:pt idx="129">
                  <c:v>210</c:v>
                </c:pt>
                <c:pt idx="130">
                  <c:v>220</c:v>
                </c:pt>
                <c:pt idx="131">
                  <c:v>230</c:v>
                </c:pt>
                <c:pt idx="132">
                  <c:v>240</c:v>
                </c:pt>
                <c:pt idx="133">
                  <c:v>250</c:v>
                </c:pt>
                <c:pt idx="134">
                  <c:v>260</c:v>
                </c:pt>
                <c:pt idx="135">
                  <c:v>270</c:v>
                </c:pt>
                <c:pt idx="136">
                  <c:v>280</c:v>
                </c:pt>
                <c:pt idx="137">
                  <c:v>290</c:v>
                </c:pt>
                <c:pt idx="138">
                  <c:v>300</c:v>
                </c:pt>
                <c:pt idx="139">
                  <c:v>310</c:v>
                </c:pt>
                <c:pt idx="140">
                  <c:v>320</c:v>
                </c:pt>
                <c:pt idx="141">
                  <c:v>330</c:v>
                </c:pt>
                <c:pt idx="142">
                  <c:v>340</c:v>
                </c:pt>
                <c:pt idx="143">
                  <c:v>350</c:v>
                </c:pt>
                <c:pt idx="144">
                  <c:v>360</c:v>
                </c:pt>
                <c:pt idx="145">
                  <c:v>370</c:v>
                </c:pt>
                <c:pt idx="146">
                  <c:v>380</c:v>
                </c:pt>
                <c:pt idx="147">
                  <c:v>390</c:v>
                </c:pt>
                <c:pt idx="148">
                  <c:v>400</c:v>
                </c:pt>
                <c:pt idx="149">
                  <c:v>410</c:v>
                </c:pt>
                <c:pt idx="150">
                  <c:v>420</c:v>
                </c:pt>
                <c:pt idx="151">
                  <c:v>430</c:v>
                </c:pt>
                <c:pt idx="152">
                  <c:v>440</c:v>
                </c:pt>
                <c:pt idx="153">
                  <c:v>450</c:v>
                </c:pt>
                <c:pt idx="154">
                  <c:v>460</c:v>
                </c:pt>
                <c:pt idx="155">
                  <c:v>470</c:v>
                </c:pt>
                <c:pt idx="156">
                  <c:v>480</c:v>
                </c:pt>
                <c:pt idx="157">
                  <c:v>490</c:v>
                </c:pt>
                <c:pt idx="158">
                  <c:v>500</c:v>
                </c:pt>
                <c:pt idx="159">
                  <c:v>510</c:v>
                </c:pt>
                <c:pt idx="160">
                  <c:v>520</c:v>
                </c:pt>
                <c:pt idx="161">
                  <c:v>530</c:v>
                </c:pt>
                <c:pt idx="162">
                  <c:v>540</c:v>
                </c:pt>
                <c:pt idx="163">
                  <c:v>550</c:v>
                </c:pt>
                <c:pt idx="164">
                  <c:v>560</c:v>
                </c:pt>
                <c:pt idx="165">
                  <c:v>570</c:v>
                </c:pt>
                <c:pt idx="166">
                  <c:v>580</c:v>
                </c:pt>
                <c:pt idx="167">
                  <c:v>581</c:v>
                </c:pt>
                <c:pt idx="168">
                  <c:v>582</c:v>
                </c:pt>
                <c:pt idx="169">
                  <c:v>583</c:v>
                </c:pt>
                <c:pt idx="170">
                  <c:v>584</c:v>
                </c:pt>
                <c:pt idx="171">
                  <c:v>585</c:v>
                </c:pt>
                <c:pt idx="172">
                  <c:v>586</c:v>
                </c:pt>
                <c:pt idx="173">
                  <c:v>587</c:v>
                </c:pt>
                <c:pt idx="174">
                  <c:v>588</c:v>
                </c:pt>
                <c:pt idx="175">
                  <c:v>589</c:v>
                </c:pt>
                <c:pt idx="176">
                  <c:v>590</c:v>
                </c:pt>
                <c:pt idx="177">
                  <c:v>590</c:v>
                </c:pt>
                <c:pt idx="178">
                  <c:v>591</c:v>
                </c:pt>
                <c:pt idx="179">
                  <c:v>592</c:v>
                </c:pt>
                <c:pt idx="180">
                  <c:v>593</c:v>
                </c:pt>
                <c:pt idx="181">
                  <c:v>594</c:v>
                </c:pt>
                <c:pt idx="182">
                  <c:v>595</c:v>
                </c:pt>
                <c:pt idx="183">
                  <c:v>596</c:v>
                </c:pt>
                <c:pt idx="184">
                  <c:v>597</c:v>
                </c:pt>
                <c:pt idx="185">
                  <c:v>598</c:v>
                </c:pt>
                <c:pt idx="186">
                  <c:v>599</c:v>
                </c:pt>
                <c:pt idx="187">
                  <c:v>600</c:v>
                </c:pt>
                <c:pt idx="188">
                  <c:v>601</c:v>
                </c:pt>
                <c:pt idx="189">
                  <c:v>602</c:v>
                </c:pt>
                <c:pt idx="190">
                  <c:v>603</c:v>
                </c:pt>
                <c:pt idx="191">
                  <c:v>604</c:v>
                </c:pt>
                <c:pt idx="192">
                  <c:v>605</c:v>
                </c:pt>
                <c:pt idx="193">
                  <c:v>606</c:v>
                </c:pt>
                <c:pt idx="194">
                  <c:v>607</c:v>
                </c:pt>
                <c:pt idx="195">
                  <c:v>608</c:v>
                </c:pt>
                <c:pt idx="196">
                  <c:v>609</c:v>
                </c:pt>
                <c:pt idx="197">
                  <c:v>610</c:v>
                </c:pt>
                <c:pt idx="198">
                  <c:v>611</c:v>
                </c:pt>
                <c:pt idx="199">
                  <c:v>612</c:v>
                </c:pt>
                <c:pt idx="200">
                  <c:v>613</c:v>
                </c:pt>
                <c:pt idx="201">
                  <c:v>614</c:v>
                </c:pt>
                <c:pt idx="202">
                  <c:v>615</c:v>
                </c:pt>
                <c:pt idx="203">
                  <c:v>616</c:v>
                </c:pt>
                <c:pt idx="204">
                  <c:v>617</c:v>
                </c:pt>
                <c:pt idx="205">
                  <c:v>618</c:v>
                </c:pt>
                <c:pt idx="206">
                  <c:v>619</c:v>
                </c:pt>
                <c:pt idx="207">
                  <c:v>620</c:v>
                </c:pt>
                <c:pt idx="208">
                  <c:v>621</c:v>
                </c:pt>
                <c:pt idx="209">
                  <c:v>622</c:v>
                </c:pt>
                <c:pt idx="210">
                  <c:v>623</c:v>
                </c:pt>
                <c:pt idx="211">
                  <c:v>624</c:v>
                </c:pt>
                <c:pt idx="212">
                  <c:v>625</c:v>
                </c:pt>
                <c:pt idx="213">
                  <c:v>626</c:v>
                </c:pt>
                <c:pt idx="214">
                  <c:v>627</c:v>
                </c:pt>
                <c:pt idx="215">
                  <c:v>628</c:v>
                </c:pt>
                <c:pt idx="216">
                  <c:v>629</c:v>
                </c:pt>
                <c:pt idx="217">
                  <c:v>630</c:v>
                </c:pt>
                <c:pt idx="218">
                  <c:v>631</c:v>
                </c:pt>
                <c:pt idx="219">
                  <c:v>632</c:v>
                </c:pt>
                <c:pt idx="220">
                  <c:v>633</c:v>
                </c:pt>
                <c:pt idx="221">
                  <c:v>634</c:v>
                </c:pt>
                <c:pt idx="222">
                  <c:v>635</c:v>
                </c:pt>
                <c:pt idx="223">
                  <c:v>636</c:v>
                </c:pt>
                <c:pt idx="224">
                  <c:v>637</c:v>
                </c:pt>
                <c:pt idx="225">
                  <c:v>638</c:v>
                </c:pt>
                <c:pt idx="226">
                  <c:v>639</c:v>
                </c:pt>
                <c:pt idx="227">
                  <c:v>640</c:v>
                </c:pt>
                <c:pt idx="228">
                  <c:v>640</c:v>
                </c:pt>
                <c:pt idx="229">
                  <c:v>641</c:v>
                </c:pt>
                <c:pt idx="230">
                  <c:v>642</c:v>
                </c:pt>
                <c:pt idx="231">
                  <c:v>643</c:v>
                </c:pt>
                <c:pt idx="232">
                  <c:v>644</c:v>
                </c:pt>
                <c:pt idx="233">
                  <c:v>645</c:v>
                </c:pt>
                <c:pt idx="234">
                  <c:v>646</c:v>
                </c:pt>
                <c:pt idx="235">
                  <c:v>647</c:v>
                </c:pt>
                <c:pt idx="236">
                  <c:v>648</c:v>
                </c:pt>
                <c:pt idx="237">
                  <c:v>649</c:v>
                </c:pt>
                <c:pt idx="238">
                  <c:v>650</c:v>
                </c:pt>
              </c:numCache>
            </c:numRef>
          </c:xVal>
          <c:yVal>
            <c:numRef>
              <c:f>'measurement data'!$G$3:$G$241</c:f>
              <c:numCache>
                <c:formatCode>0</c:formatCode>
                <c:ptCount val="239"/>
                <c:pt idx="0">
                  <c:v>5984</c:v>
                </c:pt>
                <c:pt idx="1">
                  <c:v>5984</c:v>
                </c:pt>
                <c:pt idx="2">
                  <c:v>5980</c:v>
                </c:pt>
                <c:pt idx="3">
                  <c:v>5980</c:v>
                </c:pt>
                <c:pt idx="4">
                  <c:v>5984</c:v>
                </c:pt>
                <c:pt idx="5">
                  <c:v>5984</c:v>
                </c:pt>
                <c:pt idx="6">
                  <c:v>5980</c:v>
                </c:pt>
                <c:pt idx="7">
                  <c:v>5984</c:v>
                </c:pt>
                <c:pt idx="8">
                  <c:v>5980</c:v>
                </c:pt>
                <c:pt idx="9">
                  <c:v>5984</c:v>
                </c:pt>
                <c:pt idx="10">
                  <c:v>5980</c:v>
                </c:pt>
                <c:pt idx="11">
                  <c:v>5980</c:v>
                </c:pt>
                <c:pt idx="12">
                  <c:v>5984</c:v>
                </c:pt>
                <c:pt idx="13">
                  <c:v>5984</c:v>
                </c:pt>
                <c:pt idx="14">
                  <c:v>5984</c:v>
                </c:pt>
                <c:pt idx="15">
                  <c:v>5980</c:v>
                </c:pt>
                <c:pt idx="16">
                  <c:v>5980</c:v>
                </c:pt>
                <c:pt idx="17">
                  <c:v>5980</c:v>
                </c:pt>
                <c:pt idx="18">
                  <c:v>5984</c:v>
                </c:pt>
                <c:pt idx="19">
                  <c:v>5980</c:v>
                </c:pt>
                <c:pt idx="20">
                  <c:v>5980</c:v>
                </c:pt>
                <c:pt idx="21">
                  <c:v>5984</c:v>
                </c:pt>
                <c:pt idx="22">
                  <c:v>5984</c:v>
                </c:pt>
                <c:pt idx="23">
                  <c:v>5984</c:v>
                </c:pt>
                <c:pt idx="24">
                  <c:v>5980</c:v>
                </c:pt>
                <c:pt idx="25">
                  <c:v>5984</c:v>
                </c:pt>
                <c:pt idx="26">
                  <c:v>5980</c:v>
                </c:pt>
                <c:pt idx="27">
                  <c:v>5980</c:v>
                </c:pt>
                <c:pt idx="28">
                  <c:v>5980</c:v>
                </c:pt>
                <c:pt idx="29">
                  <c:v>5980</c:v>
                </c:pt>
                <c:pt idx="30">
                  <c:v>5980</c:v>
                </c:pt>
                <c:pt idx="31">
                  <c:v>5976</c:v>
                </c:pt>
                <c:pt idx="32">
                  <c:v>5980</c:v>
                </c:pt>
                <c:pt idx="33">
                  <c:v>5980</c:v>
                </c:pt>
                <c:pt idx="34">
                  <c:v>5976</c:v>
                </c:pt>
                <c:pt idx="35">
                  <c:v>5980</c:v>
                </c:pt>
                <c:pt idx="36">
                  <c:v>5976</c:v>
                </c:pt>
                <c:pt idx="37">
                  <c:v>5980</c:v>
                </c:pt>
                <c:pt idx="38">
                  <c:v>5976</c:v>
                </c:pt>
                <c:pt idx="39">
                  <c:v>5976</c:v>
                </c:pt>
                <c:pt idx="40">
                  <c:v>5976</c:v>
                </c:pt>
                <c:pt idx="41">
                  <c:v>5976</c:v>
                </c:pt>
                <c:pt idx="42">
                  <c:v>5972</c:v>
                </c:pt>
                <c:pt idx="43">
                  <c:v>5972</c:v>
                </c:pt>
                <c:pt idx="44">
                  <c:v>5972</c:v>
                </c:pt>
                <c:pt idx="45">
                  <c:v>5972</c:v>
                </c:pt>
                <c:pt idx="46">
                  <c:v>5972</c:v>
                </c:pt>
                <c:pt idx="47">
                  <c:v>5972</c:v>
                </c:pt>
                <c:pt idx="48">
                  <c:v>5972</c:v>
                </c:pt>
                <c:pt idx="49">
                  <c:v>5972</c:v>
                </c:pt>
                <c:pt idx="50">
                  <c:v>5972</c:v>
                </c:pt>
                <c:pt idx="51">
                  <c:v>5968</c:v>
                </c:pt>
                <c:pt idx="52">
                  <c:v>5968</c:v>
                </c:pt>
                <c:pt idx="53">
                  <c:v>5968</c:v>
                </c:pt>
                <c:pt idx="54">
                  <c:v>5968</c:v>
                </c:pt>
                <c:pt idx="55">
                  <c:v>5968</c:v>
                </c:pt>
                <c:pt idx="56">
                  <c:v>5968</c:v>
                </c:pt>
                <c:pt idx="57">
                  <c:v>5964</c:v>
                </c:pt>
                <c:pt idx="58">
                  <c:v>5964</c:v>
                </c:pt>
                <c:pt idx="59">
                  <c:v>5964</c:v>
                </c:pt>
                <c:pt idx="60">
                  <c:v>5964</c:v>
                </c:pt>
                <c:pt idx="61">
                  <c:v>5964</c:v>
                </c:pt>
                <c:pt idx="62">
                  <c:v>5964</c:v>
                </c:pt>
                <c:pt idx="63">
                  <c:v>5964</c:v>
                </c:pt>
                <c:pt idx="64">
                  <c:v>5964</c:v>
                </c:pt>
                <c:pt idx="65">
                  <c:v>5960</c:v>
                </c:pt>
                <c:pt idx="66">
                  <c:v>5960</c:v>
                </c:pt>
                <c:pt idx="67">
                  <c:v>5960</c:v>
                </c:pt>
                <c:pt idx="68">
                  <c:v>5960</c:v>
                </c:pt>
                <c:pt idx="69">
                  <c:v>5956</c:v>
                </c:pt>
                <c:pt idx="70">
                  <c:v>5956</c:v>
                </c:pt>
                <c:pt idx="71">
                  <c:v>5956</c:v>
                </c:pt>
                <c:pt idx="72">
                  <c:v>5956</c:v>
                </c:pt>
                <c:pt idx="73">
                  <c:v>5956</c:v>
                </c:pt>
                <c:pt idx="74">
                  <c:v>5956</c:v>
                </c:pt>
                <c:pt idx="75">
                  <c:v>5956</c:v>
                </c:pt>
                <c:pt idx="76">
                  <c:v>5952</c:v>
                </c:pt>
                <c:pt idx="77">
                  <c:v>5952</c:v>
                </c:pt>
                <c:pt idx="78">
                  <c:v>5952</c:v>
                </c:pt>
                <c:pt idx="79">
                  <c:v>5952</c:v>
                </c:pt>
                <c:pt idx="80">
                  <c:v>5952</c:v>
                </c:pt>
                <c:pt idx="81">
                  <c:v>5952</c:v>
                </c:pt>
                <c:pt idx="82">
                  <c:v>5948</c:v>
                </c:pt>
                <c:pt idx="83">
                  <c:v>5948</c:v>
                </c:pt>
                <c:pt idx="84">
                  <c:v>5948</c:v>
                </c:pt>
                <c:pt idx="85">
                  <c:v>5948</c:v>
                </c:pt>
                <c:pt idx="86">
                  <c:v>5948</c:v>
                </c:pt>
                <c:pt idx="87">
                  <c:v>5948</c:v>
                </c:pt>
                <c:pt idx="88">
                  <c:v>5944</c:v>
                </c:pt>
                <c:pt idx="89">
                  <c:v>5944</c:v>
                </c:pt>
                <c:pt idx="90">
                  <c:v>5944</c:v>
                </c:pt>
                <c:pt idx="91">
                  <c:v>5944</c:v>
                </c:pt>
                <c:pt idx="92">
                  <c:v>5944</c:v>
                </c:pt>
                <c:pt idx="93">
                  <c:v>5944</c:v>
                </c:pt>
                <c:pt idx="94">
                  <c:v>5940</c:v>
                </c:pt>
                <c:pt idx="95">
                  <c:v>5940</c:v>
                </c:pt>
                <c:pt idx="96">
                  <c:v>5940</c:v>
                </c:pt>
                <c:pt idx="97">
                  <c:v>5940</c:v>
                </c:pt>
                <c:pt idx="98">
                  <c:v>5940</c:v>
                </c:pt>
                <c:pt idx="99">
                  <c:v>5940</c:v>
                </c:pt>
                <c:pt idx="100">
                  <c:v>5936</c:v>
                </c:pt>
                <c:pt idx="101">
                  <c:v>5936</c:v>
                </c:pt>
                <c:pt idx="102">
                  <c:v>5936</c:v>
                </c:pt>
                <c:pt idx="103">
                  <c:v>5936</c:v>
                </c:pt>
                <c:pt idx="104">
                  <c:v>5936</c:v>
                </c:pt>
                <c:pt idx="105">
                  <c:v>5936</c:v>
                </c:pt>
                <c:pt idx="106">
                  <c:v>5936</c:v>
                </c:pt>
                <c:pt idx="107">
                  <c:v>5932</c:v>
                </c:pt>
                <c:pt idx="108">
                  <c:v>5936</c:v>
                </c:pt>
                <c:pt idx="109">
                  <c:v>5932</c:v>
                </c:pt>
                <c:pt idx="110">
                  <c:v>5932</c:v>
                </c:pt>
                <c:pt idx="111">
                  <c:v>5932</c:v>
                </c:pt>
                <c:pt idx="112">
                  <c:v>5932</c:v>
                </c:pt>
                <c:pt idx="113">
                  <c:v>5932</c:v>
                </c:pt>
                <c:pt idx="114">
                  <c:v>5932</c:v>
                </c:pt>
                <c:pt idx="115">
                  <c:v>5932</c:v>
                </c:pt>
                <c:pt idx="116">
                  <c:v>5928</c:v>
                </c:pt>
                <c:pt idx="117">
                  <c:v>5928</c:v>
                </c:pt>
                <c:pt idx="118">
                  <c:v>5928</c:v>
                </c:pt>
                <c:pt idx="119">
                  <c:v>5928</c:v>
                </c:pt>
                <c:pt idx="120">
                  <c:v>5928</c:v>
                </c:pt>
                <c:pt idx="121">
                  <c:v>5924</c:v>
                </c:pt>
                <c:pt idx="122">
                  <c:v>5920</c:v>
                </c:pt>
                <c:pt idx="123">
                  <c:v>5916</c:v>
                </c:pt>
                <c:pt idx="124">
                  <c:v>5912</c:v>
                </c:pt>
                <c:pt idx="125">
                  <c:v>5904</c:v>
                </c:pt>
                <c:pt idx="126">
                  <c:v>5900</c:v>
                </c:pt>
                <c:pt idx="127">
                  <c:v>5900</c:v>
                </c:pt>
                <c:pt idx="128">
                  <c:v>5896</c:v>
                </c:pt>
                <c:pt idx="129">
                  <c:v>5892</c:v>
                </c:pt>
                <c:pt idx="130">
                  <c:v>5884</c:v>
                </c:pt>
                <c:pt idx="131">
                  <c:v>5884</c:v>
                </c:pt>
                <c:pt idx="132">
                  <c:v>5876</c:v>
                </c:pt>
                <c:pt idx="133">
                  <c:v>5872</c:v>
                </c:pt>
                <c:pt idx="134">
                  <c:v>5872</c:v>
                </c:pt>
                <c:pt idx="135">
                  <c:v>5864</c:v>
                </c:pt>
                <c:pt idx="136">
                  <c:v>5860</c:v>
                </c:pt>
                <c:pt idx="137">
                  <c:v>5860</c:v>
                </c:pt>
                <c:pt idx="138">
                  <c:v>5852</c:v>
                </c:pt>
                <c:pt idx="139">
                  <c:v>5852</c:v>
                </c:pt>
                <c:pt idx="140">
                  <c:v>5848</c:v>
                </c:pt>
                <c:pt idx="141">
                  <c:v>5844</c:v>
                </c:pt>
                <c:pt idx="142">
                  <c:v>5836</c:v>
                </c:pt>
                <c:pt idx="143">
                  <c:v>5832</c:v>
                </c:pt>
                <c:pt idx="144">
                  <c:v>5832</c:v>
                </c:pt>
                <c:pt idx="145">
                  <c:v>5824</c:v>
                </c:pt>
                <c:pt idx="146">
                  <c:v>5824</c:v>
                </c:pt>
                <c:pt idx="147">
                  <c:v>5820</c:v>
                </c:pt>
                <c:pt idx="148">
                  <c:v>5816</c:v>
                </c:pt>
                <c:pt idx="149">
                  <c:v>5812</c:v>
                </c:pt>
                <c:pt idx="150">
                  <c:v>5808</c:v>
                </c:pt>
                <c:pt idx="151">
                  <c:v>5804</c:v>
                </c:pt>
                <c:pt idx="152">
                  <c:v>5800</c:v>
                </c:pt>
                <c:pt idx="153">
                  <c:v>5796</c:v>
                </c:pt>
                <c:pt idx="154">
                  <c:v>5792</c:v>
                </c:pt>
                <c:pt idx="155">
                  <c:v>5788</c:v>
                </c:pt>
                <c:pt idx="156">
                  <c:v>5788</c:v>
                </c:pt>
                <c:pt idx="157">
                  <c:v>5784</c:v>
                </c:pt>
                <c:pt idx="158">
                  <c:v>5776</c:v>
                </c:pt>
                <c:pt idx="159">
                  <c:v>5772</c:v>
                </c:pt>
                <c:pt idx="160">
                  <c:v>5772</c:v>
                </c:pt>
                <c:pt idx="161">
                  <c:v>5764</c:v>
                </c:pt>
                <c:pt idx="162">
                  <c:v>5760</c:v>
                </c:pt>
                <c:pt idx="163">
                  <c:v>5756</c:v>
                </c:pt>
                <c:pt idx="164">
                  <c:v>5752</c:v>
                </c:pt>
                <c:pt idx="165">
                  <c:v>5748</c:v>
                </c:pt>
                <c:pt idx="166">
                  <c:v>5744</c:v>
                </c:pt>
                <c:pt idx="167">
                  <c:v>5740</c:v>
                </c:pt>
                <c:pt idx="168">
                  <c:v>5744</c:v>
                </c:pt>
                <c:pt idx="169">
                  <c:v>5744</c:v>
                </c:pt>
                <c:pt idx="170">
                  <c:v>5740</c:v>
                </c:pt>
                <c:pt idx="171">
                  <c:v>5740</c:v>
                </c:pt>
                <c:pt idx="172">
                  <c:v>5740</c:v>
                </c:pt>
                <c:pt idx="173">
                  <c:v>5740</c:v>
                </c:pt>
                <c:pt idx="174">
                  <c:v>5740</c:v>
                </c:pt>
                <c:pt idx="175">
                  <c:v>5740</c:v>
                </c:pt>
                <c:pt idx="176">
                  <c:v>5736</c:v>
                </c:pt>
                <c:pt idx="177">
                  <c:v>5740</c:v>
                </c:pt>
                <c:pt idx="178">
                  <c:v>5740</c:v>
                </c:pt>
                <c:pt idx="179">
                  <c:v>5736</c:v>
                </c:pt>
                <c:pt idx="180">
                  <c:v>5736</c:v>
                </c:pt>
                <c:pt idx="181">
                  <c:v>5736</c:v>
                </c:pt>
                <c:pt idx="182">
                  <c:v>5736</c:v>
                </c:pt>
                <c:pt idx="183">
                  <c:v>5736</c:v>
                </c:pt>
                <c:pt idx="184">
                  <c:v>5736</c:v>
                </c:pt>
                <c:pt idx="185">
                  <c:v>5736</c:v>
                </c:pt>
                <c:pt idx="186">
                  <c:v>5736</c:v>
                </c:pt>
                <c:pt idx="187">
                  <c:v>5736</c:v>
                </c:pt>
                <c:pt idx="188">
                  <c:v>5732</c:v>
                </c:pt>
                <c:pt idx="189">
                  <c:v>5732</c:v>
                </c:pt>
                <c:pt idx="190">
                  <c:v>5732</c:v>
                </c:pt>
                <c:pt idx="191">
                  <c:v>5732</c:v>
                </c:pt>
                <c:pt idx="192">
                  <c:v>5732</c:v>
                </c:pt>
                <c:pt idx="193">
                  <c:v>5732</c:v>
                </c:pt>
                <c:pt idx="194">
                  <c:v>5728</c:v>
                </c:pt>
                <c:pt idx="195">
                  <c:v>5732</c:v>
                </c:pt>
                <c:pt idx="196">
                  <c:v>5728</c:v>
                </c:pt>
                <c:pt idx="197">
                  <c:v>5728</c:v>
                </c:pt>
                <c:pt idx="198">
                  <c:v>5728</c:v>
                </c:pt>
                <c:pt idx="199">
                  <c:v>5728</c:v>
                </c:pt>
                <c:pt idx="200">
                  <c:v>5728</c:v>
                </c:pt>
                <c:pt idx="201">
                  <c:v>5728</c:v>
                </c:pt>
                <c:pt idx="202">
                  <c:v>5724</c:v>
                </c:pt>
                <c:pt idx="203">
                  <c:v>5728</c:v>
                </c:pt>
                <c:pt idx="204">
                  <c:v>5728</c:v>
                </c:pt>
                <c:pt idx="205">
                  <c:v>5728</c:v>
                </c:pt>
                <c:pt idx="206">
                  <c:v>5724</c:v>
                </c:pt>
                <c:pt idx="207">
                  <c:v>5724</c:v>
                </c:pt>
                <c:pt idx="208">
                  <c:v>5724</c:v>
                </c:pt>
                <c:pt idx="209">
                  <c:v>5724</c:v>
                </c:pt>
                <c:pt idx="210">
                  <c:v>5724</c:v>
                </c:pt>
                <c:pt idx="211">
                  <c:v>5724</c:v>
                </c:pt>
                <c:pt idx="212">
                  <c:v>5724</c:v>
                </c:pt>
                <c:pt idx="213">
                  <c:v>5720</c:v>
                </c:pt>
                <c:pt idx="214">
                  <c:v>5720</c:v>
                </c:pt>
                <c:pt idx="215">
                  <c:v>5720</c:v>
                </c:pt>
                <c:pt idx="216">
                  <c:v>5724</c:v>
                </c:pt>
                <c:pt idx="217">
                  <c:v>5720</c:v>
                </c:pt>
                <c:pt idx="218">
                  <c:v>5720</c:v>
                </c:pt>
                <c:pt idx="219">
                  <c:v>5720</c:v>
                </c:pt>
                <c:pt idx="220">
                  <c:v>5720</c:v>
                </c:pt>
                <c:pt idx="221">
                  <c:v>5720</c:v>
                </c:pt>
                <c:pt idx="222">
                  <c:v>5720</c:v>
                </c:pt>
                <c:pt idx="223">
                  <c:v>5716</c:v>
                </c:pt>
                <c:pt idx="224">
                  <c:v>5716</c:v>
                </c:pt>
                <c:pt idx="225">
                  <c:v>5716</c:v>
                </c:pt>
                <c:pt idx="226">
                  <c:v>5716</c:v>
                </c:pt>
                <c:pt idx="227">
                  <c:v>5716</c:v>
                </c:pt>
                <c:pt idx="228">
                  <c:v>5716</c:v>
                </c:pt>
                <c:pt idx="229">
                  <c:v>5716</c:v>
                </c:pt>
                <c:pt idx="230">
                  <c:v>5716</c:v>
                </c:pt>
                <c:pt idx="231">
                  <c:v>5716</c:v>
                </c:pt>
                <c:pt idx="232">
                  <c:v>5716</c:v>
                </c:pt>
                <c:pt idx="233">
                  <c:v>5716</c:v>
                </c:pt>
                <c:pt idx="234">
                  <c:v>5716</c:v>
                </c:pt>
                <c:pt idx="235">
                  <c:v>5716</c:v>
                </c:pt>
                <c:pt idx="236">
                  <c:v>5716</c:v>
                </c:pt>
                <c:pt idx="237">
                  <c:v>5716</c:v>
                </c:pt>
                <c:pt idx="238">
                  <c:v>5716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BA8-44C5-997B-4E4EBDE08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882655"/>
        <c:axId val="318871615"/>
      </c:scatterChart>
      <c:valAx>
        <c:axId val="318882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871615"/>
        <c:crosses val="autoZero"/>
        <c:crossBetween val="midCat"/>
      </c:valAx>
      <c:valAx>
        <c:axId val="31887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882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'measurement data'!$U$2</c:f>
              <c:strCache>
                <c:ptCount val="1"/>
                <c:pt idx="0">
                  <c:v>Vsense gain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'measurement data'!$A$3:$A$241</c:f>
              <c:numCache>
                <c:formatCode>General</c:formatCode>
                <c:ptCount val="2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130</c:v>
                </c:pt>
                <c:pt idx="122">
                  <c:v>140</c:v>
                </c:pt>
                <c:pt idx="123">
                  <c:v>150</c:v>
                </c:pt>
                <c:pt idx="124">
                  <c:v>160</c:v>
                </c:pt>
                <c:pt idx="125">
                  <c:v>170</c:v>
                </c:pt>
                <c:pt idx="126">
                  <c:v>180</c:v>
                </c:pt>
                <c:pt idx="127">
                  <c:v>190</c:v>
                </c:pt>
                <c:pt idx="128">
                  <c:v>200</c:v>
                </c:pt>
                <c:pt idx="129">
                  <c:v>210</c:v>
                </c:pt>
                <c:pt idx="130">
                  <c:v>220</c:v>
                </c:pt>
                <c:pt idx="131">
                  <c:v>230</c:v>
                </c:pt>
                <c:pt idx="132">
                  <c:v>240</c:v>
                </c:pt>
                <c:pt idx="133">
                  <c:v>250</c:v>
                </c:pt>
                <c:pt idx="134">
                  <c:v>260</c:v>
                </c:pt>
                <c:pt idx="135">
                  <c:v>270</c:v>
                </c:pt>
                <c:pt idx="136">
                  <c:v>280</c:v>
                </c:pt>
                <c:pt idx="137">
                  <c:v>290</c:v>
                </c:pt>
                <c:pt idx="138">
                  <c:v>300</c:v>
                </c:pt>
                <c:pt idx="139">
                  <c:v>310</c:v>
                </c:pt>
                <c:pt idx="140">
                  <c:v>320</c:v>
                </c:pt>
                <c:pt idx="141">
                  <c:v>330</c:v>
                </c:pt>
                <c:pt idx="142">
                  <c:v>340</c:v>
                </c:pt>
                <c:pt idx="143">
                  <c:v>350</c:v>
                </c:pt>
                <c:pt idx="144">
                  <c:v>360</c:v>
                </c:pt>
                <c:pt idx="145">
                  <c:v>370</c:v>
                </c:pt>
                <c:pt idx="146">
                  <c:v>380</c:v>
                </c:pt>
                <c:pt idx="147">
                  <c:v>390</c:v>
                </c:pt>
                <c:pt idx="148">
                  <c:v>400</c:v>
                </c:pt>
                <c:pt idx="149">
                  <c:v>410</c:v>
                </c:pt>
                <c:pt idx="150">
                  <c:v>420</c:v>
                </c:pt>
                <c:pt idx="151">
                  <c:v>430</c:v>
                </c:pt>
                <c:pt idx="152">
                  <c:v>440</c:v>
                </c:pt>
                <c:pt idx="153">
                  <c:v>450</c:v>
                </c:pt>
                <c:pt idx="154">
                  <c:v>460</c:v>
                </c:pt>
                <c:pt idx="155">
                  <c:v>470</c:v>
                </c:pt>
                <c:pt idx="156">
                  <c:v>480</c:v>
                </c:pt>
                <c:pt idx="157">
                  <c:v>490</c:v>
                </c:pt>
                <c:pt idx="158">
                  <c:v>500</c:v>
                </c:pt>
                <c:pt idx="159">
                  <c:v>510</c:v>
                </c:pt>
                <c:pt idx="160">
                  <c:v>520</c:v>
                </c:pt>
                <c:pt idx="161">
                  <c:v>530</c:v>
                </c:pt>
                <c:pt idx="162">
                  <c:v>540</c:v>
                </c:pt>
                <c:pt idx="163">
                  <c:v>550</c:v>
                </c:pt>
                <c:pt idx="164">
                  <c:v>560</c:v>
                </c:pt>
                <c:pt idx="165">
                  <c:v>570</c:v>
                </c:pt>
                <c:pt idx="166">
                  <c:v>580</c:v>
                </c:pt>
                <c:pt idx="167">
                  <c:v>581</c:v>
                </c:pt>
                <c:pt idx="168">
                  <c:v>582</c:v>
                </c:pt>
                <c:pt idx="169">
                  <c:v>583</c:v>
                </c:pt>
                <c:pt idx="170">
                  <c:v>584</c:v>
                </c:pt>
                <c:pt idx="171">
                  <c:v>585</c:v>
                </c:pt>
                <c:pt idx="172">
                  <c:v>586</c:v>
                </c:pt>
                <c:pt idx="173">
                  <c:v>587</c:v>
                </c:pt>
                <c:pt idx="174">
                  <c:v>588</c:v>
                </c:pt>
                <c:pt idx="175">
                  <c:v>589</c:v>
                </c:pt>
                <c:pt idx="176">
                  <c:v>590</c:v>
                </c:pt>
                <c:pt idx="177">
                  <c:v>590</c:v>
                </c:pt>
                <c:pt idx="178">
                  <c:v>591</c:v>
                </c:pt>
                <c:pt idx="179">
                  <c:v>592</c:v>
                </c:pt>
                <c:pt idx="180">
                  <c:v>593</c:v>
                </c:pt>
                <c:pt idx="181">
                  <c:v>594</c:v>
                </c:pt>
                <c:pt idx="182">
                  <c:v>595</c:v>
                </c:pt>
                <c:pt idx="183">
                  <c:v>596</c:v>
                </c:pt>
                <c:pt idx="184">
                  <c:v>597</c:v>
                </c:pt>
                <c:pt idx="185">
                  <c:v>598</c:v>
                </c:pt>
                <c:pt idx="186">
                  <c:v>599</c:v>
                </c:pt>
                <c:pt idx="187">
                  <c:v>600</c:v>
                </c:pt>
                <c:pt idx="188">
                  <c:v>601</c:v>
                </c:pt>
                <c:pt idx="189">
                  <c:v>602</c:v>
                </c:pt>
                <c:pt idx="190">
                  <c:v>603</c:v>
                </c:pt>
                <c:pt idx="191">
                  <c:v>604</c:v>
                </c:pt>
                <c:pt idx="192">
                  <c:v>605</c:v>
                </c:pt>
                <c:pt idx="193">
                  <c:v>606</c:v>
                </c:pt>
                <c:pt idx="194">
                  <c:v>607</c:v>
                </c:pt>
                <c:pt idx="195">
                  <c:v>608</c:v>
                </c:pt>
                <c:pt idx="196">
                  <c:v>609</c:v>
                </c:pt>
                <c:pt idx="197">
                  <c:v>610</c:v>
                </c:pt>
                <c:pt idx="198">
                  <c:v>611</c:v>
                </c:pt>
                <c:pt idx="199">
                  <c:v>612</c:v>
                </c:pt>
                <c:pt idx="200">
                  <c:v>613</c:v>
                </c:pt>
                <c:pt idx="201">
                  <c:v>614</c:v>
                </c:pt>
                <c:pt idx="202">
                  <c:v>615</c:v>
                </c:pt>
                <c:pt idx="203">
                  <c:v>616</c:v>
                </c:pt>
                <c:pt idx="204">
                  <c:v>617</c:v>
                </c:pt>
                <c:pt idx="205">
                  <c:v>618</c:v>
                </c:pt>
                <c:pt idx="206">
                  <c:v>619</c:v>
                </c:pt>
                <c:pt idx="207">
                  <c:v>620</c:v>
                </c:pt>
                <c:pt idx="208">
                  <c:v>621</c:v>
                </c:pt>
                <c:pt idx="209">
                  <c:v>622</c:v>
                </c:pt>
                <c:pt idx="210">
                  <c:v>623</c:v>
                </c:pt>
                <c:pt idx="211">
                  <c:v>624</c:v>
                </c:pt>
                <c:pt idx="212">
                  <c:v>625</c:v>
                </c:pt>
                <c:pt idx="213">
                  <c:v>626</c:v>
                </c:pt>
                <c:pt idx="214">
                  <c:v>627</c:v>
                </c:pt>
                <c:pt idx="215">
                  <c:v>628</c:v>
                </c:pt>
                <c:pt idx="216">
                  <c:v>629</c:v>
                </c:pt>
                <c:pt idx="217">
                  <c:v>630</c:v>
                </c:pt>
                <c:pt idx="218">
                  <c:v>631</c:v>
                </c:pt>
                <c:pt idx="219">
                  <c:v>632</c:v>
                </c:pt>
                <c:pt idx="220">
                  <c:v>633</c:v>
                </c:pt>
                <c:pt idx="221">
                  <c:v>634</c:v>
                </c:pt>
                <c:pt idx="222">
                  <c:v>635</c:v>
                </c:pt>
                <c:pt idx="223">
                  <c:v>636</c:v>
                </c:pt>
                <c:pt idx="224">
                  <c:v>637</c:v>
                </c:pt>
                <c:pt idx="225">
                  <c:v>638</c:v>
                </c:pt>
                <c:pt idx="226">
                  <c:v>639</c:v>
                </c:pt>
                <c:pt idx="227">
                  <c:v>640</c:v>
                </c:pt>
                <c:pt idx="228">
                  <c:v>640</c:v>
                </c:pt>
                <c:pt idx="229">
                  <c:v>641</c:v>
                </c:pt>
                <c:pt idx="230">
                  <c:v>642</c:v>
                </c:pt>
                <c:pt idx="231">
                  <c:v>643</c:v>
                </c:pt>
                <c:pt idx="232">
                  <c:v>644</c:v>
                </c:pt>
                <c:pt idx="233">
                  <c:v>645</c:v>
                </c:pt>
                <c:pt idx="234">
                  <c:v>646</c:v>
                </c:pt>
                <c:pt idx="235">
                  <c:v>647</c:v>
                </c:pt>
                <c:pt idx="236">
                  <c:v>648</c:v>
                </c:pt>
                <c:pt idx="237">
                  <c:v>649</c:v>
                </c:pt>
                <c:pt idx="238">
                  <c:v>650</c:v>
                </c:pt>
              </c:numCache>
            </c:numRef>
          </c:xVal>
          <c:yVal>
            <c:numRef>
              <c:f>'measurement data'!$U$53:$U$241</c:f>
              <c:numCache>
                <c:formatCode>0.00</c:formatCode>
                <c:ptCount val="189"/>
                <c:pt idx="0">
                  <c:v>16.8</c:v>
                </c:pt>
                <c:pt idx="1">
                  <c:v>16.46153846153846</c:v>
                </c:pt>
                <c:pt idx="2">
                  <c:v>16.148148148148149</c:v>
                </c:pt>
                <c:pt idx="3">
                  <c:v>15.857142857142858</c:v>
                </c:pt>
                <c:pt idx="4">
                  <c:v>15.066666666666668</c:v>
                </c:pt>
                <c:pt idx="5">
                  <c:v>14.870967741935484</c:v>
                </c:pt>
                <c:pt idx="6">
                  <c:v>14.624999999999998</c:v>
                </c:pt>
                <c:pt idx="7">
                  <c:v>14.454545454545457</c:v>
                </c:pt>
                <c:pt idx="8">
                  <c:v>13.828571428571427</c:v>
                </c:pt>
                <c:pt idx="9">
                  <c:v>13.694444444444443</c:v>
                </c:pt>
                <c:pt idx="10">
                  <c:v>13.54054054054054</c:v>
                </c:pt>
                <c:pt idx="11">
                  <c:v>13.394736842105264</c:v>
                </c:pt>
                <c:pt idx="12">
                  <c:v>12.925000000000001</c:v>
                </c:pt>
                <c:pt idx="13">
                  <c:v>12.804878048780489</c:v>
                </c:pt>
                <c:pt idx="14">
                  <c:v>12.69047619047619</c:v>
                </c:pt>
                <c:pt idx="15">
                  <c:v>12.58139534883721</c:v>
                </c:pt>
                <c:pt idx="16">
                  <c:v>12.477272727272727</c:v>
                </c:pt>
                <c:pt idx="17">
                  <c:v>12.377777777777778</c:v>
                </c:pt>
                <c:pt idx="18">
                  <c:v>12.021276595744681</c:v>
                </c:pt>
                <c:pt idx="19">
                  <c:v>11.9375</c:v>
                </c:pt>
                <c:pt idx="20">
                  <c:v>11.877551020408163</c:v>
                </c:pt>
                <c:pt idx="21">
                  <c:v>11.568627450980394</c:v>
                </c:pt>
                <c:pt idx="22">
                  <c:v>11.499999999999998</c:v>
                </c:pt>
                <c:pt idx="23">
                  <c:v>11.433962264150944</c:v>
                </c:pt>
                <c:pt idx="24">
                  <c:v>11.37037037037037</c:v>
                </c:pt>
                <c:pt idx="25">
                  <c:v>11.30909090909091</c:v>
                </c:pt>
                <c:pt idx="26">
                  <c:v>11.25</c:v>
                </c:pt>
                <c:pt idx="27">
                  <c:v>11</c:v>
                </c:pt>
                <c:pt idx="28">
                  <c:v>10.966101694915254</c:v>
                </c:pt>
                <c:pt idx="29">
                  <c:v>10.9</c:v>
                </c:pt>
                <c:pt idx="30">
                  <c:v>10.868852459016393</c:v>
                </c:pt>
                <c:pt idx="31">
                  <c:v>10.822580645161288</c:v>
                </c:pt>
                <c:pt idx="32">
                  <c:v>10.777777777777779</c:v>
                </c:pt>
                <c:pt idx="33">
                  <c:v>10.569230769230769</c:v>
                </c:pt>
                <c:pt idx="34">
                  <c:v>10.530303030303031</c:v>
                </c:pt>
                <c:pt idx="35">
                  <c:v>10.492537313432836</c:v>
                </c:pt>
                <c:pt idx="36">
                  <c:v>10.455882352941176</c:v>
                </c:pt>
                <c:pt idx="37">
                  <c:v>10.420289855072465</c:v>
                </c:pt>
                <c:pt idx="38">
                  <c:v>10.385714285714286</c:v>
                </c:pt>
                <c:pt idx="39">
                  <c:v>10.208333333333334</c:v>
                </c:pt>
                <c:pt idx="40">
                  <c:v>10.178082191780822</c:v>
                </c:pt>
                <c:pt idx="41">
                  <c:v>10.148648648648647</c:v>
                </c:pt>
                <c:pt idx="42">
                  <c:v>10.120000000000001</c:v>
                </c:pt>
                <c:pt idx="43">
                  <c:v>10.092105263157896</c:v>
                </c:pt>
                <c:pt idx="44">
                  <c:v>10.064935064935066</c:v>
                </c:pt>
                <c:pt idx="45">
                  <c:v>10.038461538461538</c:v>
                </c:pt>
                <c:pt idx="46">
                  <c:v>10.025316455696203</c:v>
                </c:pt>
                <c:pt idx="47">
                  <c:v>10</c:v>
                </c:pt>
                <c:pt idx="48">
                  <c:v>9.8536585365853657</c:v>
                </c:pt>
                <c:pt idx="49">
                  <c:v>9.8313253012048172</c:v>
                </c:pt>
                <c:pt idx="50">
                  <c:v>9.8095238095238102</c:v>
                </c:pt>
                <c:pt idx="51">
                  <c:v>9.7999999999999989</c:v>
                </c:pt>
                <c:pt idx="52">
                  <c:v>9.7674418604651159</c:v>
                </c:pt>
                <c:pt idx="53">
                  <c:v>9.7586206896551744</c:v>
                </c:pt>
                <c:pt idx="54">
                  <c:v>9.7272727272727266</c:v>
                </c:pt>
                <c:pt idx="55">
                  <c:v>9.7078651685393265</c:v>
                </c:pt>
                <c:pt idx="56">
                  <c:v>9.6999999999999993</c:v>
                </c:pt>
                <c:pt idx="57">
                  <c:v>9.6813186813186807</c:v>
                </c:pt>
                <c:pt idx="58">
                  <c:v>9.663043478260871</c:v>
                </c:pt>
                <c:pt idx="59">
                  <c:v>9.6451612903225801</c:v>
                </c:pt>
                <c:pt idx="60">
                  <c:v>9.6276595744680851</c:v>
                </c:pt>
                <c:pt idx="61">
                  <c:v>9.6105263157894729</c:v>
                </c:pt>
                <c:pt idx="62">
                  <c:v>9.59375</c:v>
                </c:pt>
                <c:pt idx="63">
                  <c:v>9.5773195876288675</c:v>
                </c:pt>
                <c:pt idx="64">
                  <c:v>9.5612244897959187</c:v>
                </c:pt>
                <c:pt idx="65">
                  <c:v>9.545454545454545</c:v>
                </c:pt>
                <c:pt idx="66">
                  <c:v>9.5299999999999994</c:v>
                </c:pt>
                <c:pt idx="67">
                  <c:v>9.5247524752475261</c:v>
                </c:pt>
                <c:pt idx="68">
                  <c:v>9.5098039215686274</c:v>
                </c:pt>
                <c:pt idx="69">
                  <c:v>9.4854368932038824</c:v>
                </c:pt>
                <c:pt idx="70">
                  <c:v>9.4711538461538467</c:v>
                </c:pt>
                <c:pt idx="71">
                  <c:v>9.4690265486725664</c:v>
                </c:pt>
                <c:pt idx="72">
                  <c:v>9.4262295081967213</c:v>
                </c:pt>
                <c:pt idx="73">
                  <c:v>10.23076923076923</c:v>
                </c:pt>
                <c:pt idx="74">
                  <c:v>9.4999999999999982</c:v>
                </c:pt>
                <c:pt idx="75">
                  <c:v>9.5273972602739718</c:v>
                </c:pt>
                <c:pt idx="76">
                  <c:v>9.5519480519480506</c:v>
                </c:pt>
                <c:pt idx="77">
                  <c:v>9.5740740740740744</c:v>
                </c:pt>
                <c:pt idx="78">
                  <c:v>9.5941176470588232</c:v>
                </c:pt>
                <c:pt idx="79">
                  <c:v>9.6179775280898863</c:v>
                </c:pt>
                <c:pt idx="80">
                  <c:v>9.6864864864864852</c:v>
                </c:pt>
                <c:pt idx="81">
                  <c:v>9.699481865284973</c:v>
                </c:pt>
                <c:pt idx="82">
                  <c:v>9.7164179104477615</c:v>
                </c:pt>
                <c:pt idx="83">
                  <c:v>9.6634615384615383</c:v>
                </c:pt>
                <c:pt idx="84">
                  <c:v>9.6759259259259256</c:v>
                </c:pt>
                <c:pt idx="85">
                  <c:v>9.7309417040358746</c:v>
                </c:pt>
                <c:pt idx="86">
                  <c:v>9.7402597402597397</c:v>
                </c:pt>
                <c:pt idx="87">
                  <c:v>9.7899159663865536</c:v>
                </c:pt>
                <c:pt idx="88">
                  <c:v>9.7967479674796749</c:v>
                </c:pt>
                <c:pt idx="89">
                  <c:v>9.8418972332015802</c:v>
                </c:pt>
                <c:pt idx="90">
                  <c:v>9.884615384615385</c:v>
                </c:pt>
                <c:pt idx="91">
                  <c:v>9.9250936329588022</c:v>
                </c:pt>
                <c:pt idx="92">
                  <c:v>9.9272727272727277</c:v>
                </c:pt>
                <c:pt idx="93">
                  <c:v>9.9645390070921991</c:v>
                </c:pt>
                <c:pt idx="94">
                  <c:v>10</c:v>
                </c:pt>
                <c:pt idx="95">
                  <c:v>10.033783783783782</c:v>
                </c:pt>
                <c:pt idx="96">
                  <c:v>10.066006600660065</c:v>
                </c:pt>
                <c:pt idx="97">
                  <c:v>10.096774193548388</c:v>
                </c:pt>
                <c:pt idx="98">
                  <c:v>10.126182965299686</c:v>
                </c:pt>
                <c:pt idx="99">
                  <c:v>10.154320987654321</c:v>
                </c:pt>
                <c:pt idx="100">
                  <c:v>10.181268882175226</c:v>
                </c:pt>
                <c:pt idx="101">
                  <c:v>10.207100591715978</c:v>
                </c:pt>
                <c:pt idx="102">
                  <c:v>10.231884057971014</c:v>
                </c:pt>
                <c:pt idx="103">
                  <c:v>10.227272727272727</c:v>
                </c:pt>
                <c:pt idx="104">
                  <c:v>10.278551532033427</c:v>
                </c:pt>
                <c:pt idx="105">
                  <c:v>10.273224043715846</c:v>
                </c:pt>
                <c:pt idx="106">
                  <c:v>10.294906166219841</c:v>
                </c:pt>
                <c:pt idx="107">
                  <c:v>10.051282051282051</c:v>
                </c:pt>
                <c:pt idx="108">
                  <c:v>10.335917312661499</c:v>
                </c:pt>
                <c:pt idx="109">
                  <c:v>10.329113924050633</c:v>
                </c:pt>
                <c:pt idx="110">
                  <c:v>10.348258706467661</c:v>
                </c:pt>
                <c:pt idx="111">
                  <c:v>10.341463414634147</c:v>
                </c:pt>
                <c:pt idx="112">
                  <c:v>10.359712230215827</c:v>
                </c:pt>
                <c:pt idx="113">
                  <c:v>10.352941176470589</c:v>
                </c:pt>
                <c:pt idx="114">
                  <c:v>10.37037037037037</c:v>
                </c:pt>
                <c:pt idx="115">
                  <c:v>10.363636363636363</c:v>
                </c:pt>
                <c:pt idx="116">
                  <c:v>10.380313199105144</c:v>
                </c:pt>
                <c:pt idx="117">
                  <c:v>10.379464285714286</c:v>
                </c:pt>
                <c:pt idx="118">
                  <c:v>10.356347438752785</c:v>
                </c:pt>
                <c:pt idx="119">
                  <c:v>10.355555555555556</c:v>
                </c:pt>
                <c:pt idx="120">
                  <c:v>10.377777777777778</c:v>
                </c:pt>
                <c:pt idx="121">
                  <c:v>10.376940133037694</c:v>
                </c:pt>
                <c:pt idx="122">
                  <c:v>10.376106194690264</c:v>
                </c:pt>
                <c:pt idx="123">
                  <c:v>10.376106194690264</c:v>
                </c:pt>
                <c:pt idx="124">
                  <c:v>10.375275938189846</c:v>
                </c:pt>
                <c:pt idx="125">
                  <c:v>10.374449339207048</c:v>
                </c:pt>
                <c:pt idx="126">
                  <c:v>10.373626373626374</c:v>
                </c:pt>
                <c:pt idx="127">
                  <c:v>10.395604395604396</c:v>
                </c:pt>
                <c:pt idx="128">
                  <c:v>10.395604395604396</c:v>
                </c:pt>
                <c:pt idx="129">
                  <c:v>10.37280701754386</c:v>
                </c:pt>
                <c:pt idx="130">
                  <c:v>10.37199124726477</c:v>
                </c:pt>
                <c:pt idx="131">
                  <c:v>10.393873085339168</c:v>
                </c:pt>
                <c:pt idx="132">
                  <c:v>10.393013100436681</c:v>
                </c:pt>
                <c:pt idx="133">
                  <c:v>10.392156862745098</c:v>
                </c:pt>
                <c:pt idx="134">
                  <c:v>10.391304347826088</c:v>
                </c:pt>
                <c:pt idx="135">
                  <c:v>10.391304347826088</c:v>
                </c:pt>
                <c:pt idx="136">
                  <c:v>10.390455531453362</c:v>
                </c:pt>
                <c:pt idx="137">
                  <c:v>10.38961038961039</c:v>
                </c:pt>
                <c:pt idx="138">
                  <c:v>10.411255411255411</c:v>
                </c:pt>
                <c:pt idx="139">
                  <c:v>10.388768898488122</c:v>
                </c:pt>
                <c:pt idx="140">
                  <c:v>10.38793103448276</c:v>
                </c:pt>
                <c:pt idx="141">
                  <c:v>10.40948275862069</c:v>
                </c:pt>
                <c:pt idx="142">
                  <c:v>10.408602150537634</c:v>
                </c:pt>
                <c:pt idx="143">
                  <c:v>10.407725321888412</c:v>
                </c:pt>
                <c:pt idx="144">
                  <c:v>10.406852248394003</c:v>
                </c:pt>
                <c:pt idx="145">
                  <c:v>10.406852248394003</c:v>
                </c:pt>
                <c:pt idx="146">
                  <c:v>10.405982905982906</c:v>
                </c:pt>
                <c:pt idx="147">
                  <c:v>10.405117270788914</c:v>
                </c:pt>
                <c:pt idx="148">
                  <c:v>10.426439232409383</c:v>
                </c:pt>
                <c:pt idx="149">
                  <c:v>10.425531914893616</c:v>
                </c:pt>
                <c:pt idx="150">
                  <c:v>10.40339702760085</c:v>
                </c:pt>
                <c:pt idx="151">
                  <c:v>10.424628450106157</c:v>
                </c:pt>
                <c:pt idx="152">
                  <c:v>10.423728813559322</c:v>
                </c:pt>
                <c:pt idx="153">
                  <c:v>10.422832980972517</c:v>
                </c:pt>
                <c:pt idx="154">
                  <c:v>10.421940928270043</c:v>
                </c:pt>
                <c:pt idx="155">
                  <c:v>10.4</c:v>
                </c:pt>
                <c:pt idx="156">
                  <c:v>10.421052631578947</c:v>
                </c:pt>
                <c:pt idx="157">
                  <c:v>10.420168067226891</c:v>
                </c:pt>
                <c:pt idx="158">
                  <c:v>10.419287211740041</c:v>
                </c:pt>
                <c:pt idx="159">
                  <c:v>10.397489539748955</c:v>
                </c:pt>
                <c:pt idx="160">
                  <c:v>10.396659707724426</c:v>
                </c:pt>
                <c:pt idx="161">
                  <c:v>10.395833333333334</c:v>
                </c:pt>
                <c:pt idx="162">
                  <c:v>10.416666666666666</c:v>
                </c:pt>
                <c:pt idx="163">
                  <c:v>10.415800415800415</c:v>
                </c:pt>
                <c:pt idx="164">
                  <c:v>10.394190871369293</c:v>
                </c:pt>
                <c:pt idx="165">
                  <c:v>10.393374741200828</c:v>
                </c:pt>
                <c:pt idx="166">
                  <c:v>10.392561983471074</c:v>
                </c:pt>
                <c:pt idx="167">
                  <c:v>10.413223140495868</c:v>
                </c:pt>
                <c:pt idx="168">
                  <c:v>10.391752577319588</c:v>
                </c:pt>
                <c:pt idx="169">
                  <c:v>10.390946502057613</c:v>
                </c:pt>
                <c:pt idx="170">
                  <c:v>10.390143737166325</c:v>
                </c:pt>
                <c:pt idx="171">
                  <c:v>10.410677618069814</c:v>
                </c:pt>
                <c:pt idx="172">
                  <c:v>10.409836065573771</c:v>
                </c:pt>
                <c:pt idx="173">
                  <c:v>10.388548057259714</c:v>
                </c:pt>
                <c:pt idx="174">
                  <c:v>10.408163265306122</c:v>
                </c:pt>
                <c:pt idx="175">
                  <c:v>10.386965376782078</c:v>
                </c:pt>
                <c:pt idx="176">
                  <c:v>10.407331975560082</c:v>
                </c:pt>
                <c:pt idx="177">
                  <c:v>10.427698574338086</c:v>
                </c:pt>
                <c:pt idx="178">
                  <c:v>10.44806517311609</c:v>
                </c:pt>
                <c:pt idx="179">
                  <c:v>10.468431771894094</c:v>
                </c:pt>
                <c:pt idx="180">
                  <c:v>10.488798370672097</c:v>
                </c:pt>
                <c:pt idx="181">
                  <c:v>10.488798370672097</c:v>
                </c:pt>
                <c:pt idx="182">
                  <c:v>10.509164969450101</c:v>
                </c:pt>
                <c:pt idx="183">
                  <c:v>10.529531568228105</c:v>
                </c:pt>
                <c:pt idx="184">
                  <c:v>10.549898167006109</c:v>
                </c:pt>
                <c:pt idx="185">
                  <c:v>10.570264765784113</c:v>
                </c:pt>
                <c:pt idx="186">
                  <c:v>10.570264765784113</c:v>
                </c:pt>
                <c:pt idx="187">
                  <c:v>10.570264765784113</c:v>
                </c:pt>
                <c:pt idx="188">
                  <c:v>10.590631364562118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22-45BE-870E-99CAD3312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16304"/>
        <c:axId val="173306704"/>
      </c:scatterChart>
      <c:valAx>
        <c:axId val="173316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06704"/>
        <c:crosses val="autoZero"/>
        <c:crossBetween val="midCat"/>
      </c:valAx>
      <c:valAx>
        <c:axId val="17330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1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Vsense jitter over 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'measurement data'!$U$2</c:f>
              <c:strCache>
                <c:ptCount val="1"/>
                <c:pt idx="0">
                  <c:v>Vsense gain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'measurement data'!$A$3:$A$241</c:f>
              <c:numCache>
                <c:formatCode>General</c:formatCode>
                <c:ptCount val="2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130</c:v>
                </c:pt>
                <c:pt idx="122">
                  <c:v>140</c:v>
                </c:pt>
                <c:pt idx="123">
                  <c:v>150</c:v>
                </c:pt>
                <c:pt idx="124">
                  <c:v>160</c:v>
                </c:pt>
                <c:pt idx="125">
                  <c:v>170</c:v>
                </c:pt>
                <c:pt idx="126">
                  <c:v>180</c:v>
                </c:pt>
                <c:pt idx="127">
                  <c:v>190</c:v>
                </c:pt>
                <c:pt idx="128">
                  <c:v>200</c:v>
                </c:pt>
                <c:pt idx="129">
                  <c:v>210</c:v>
                </c:pt>
                <c:pt idx="130">
                  <c:v>220</c:v>
                </c:pt>
                <c:pt idx="131">
                  <c:v>230</c:v>
                </c:pt>
                <c:pt idx="132">
                  <c:v>240</c:v>
                </c:pt>
                <c:pt idx="133">
                  <c:v>250</c:v>
                </c:pt>
                <c:pt idx="134">
                  <c:v>260</c:v>
                </c:pt>
                <c:pt idx="135">
                  <c:v>270</c:v>
                </c:pt>
                <c:pt idx="136">
                  <c:v>280</c:v>
                </c:pt>
                <c:pt idx="137">
                  <c:v>290</c:v>
                </c:pt>
                <c:pt idx="138">
                  <c:v>300</c:v>
                </c:pt>
                <c:pt idx="139">
                  <c:v>310</c:v>
                </c:pt>
                <c:pt idx="140">
                  <c:v>320</c:v>
                </c:pt>
                <c:pt idx="141">
                  <c:v>330</c:v>
                </c:pt>
                <c:pt idx="142">
                  <c:v>340</c:v>
                </c:pt>
                <c:pt idx="143">
                  <c:v>350</c:v>
                </c:pt>
                <c:pt idx="144">
                  <c:v>360</c:v>
                </c:pt>
                <c:pt idx="145">
                  <c:v>370</c:v>
                </c:pt>
                <c:pt idx="146">
                  <c:v>380</c:v>
                </c:pt>
                <c:pt idx="147">
                  <c:v>390</c:v>
                </c:pt>
                <c:pt idx="148">
                  <c:v>400</c:v>
                </c:pt>
                <c:pt idx="149">
                  <c:v>410</c:v>
                </c:pt>
                <c:pt idx="150">
                  <c:v>420</c:v>
                </c:pt>
                <c:pt idx="151">
                  <c:v>430</c:v>
                </c:pt>
                <c:pt idx="152">
                  <c:v>440</c:v>
                </c:pt>
                <c:pt idx="153">
                  <c:v>450</c:v>
                </c:pt>
                <c:pt idx="154">
                  <c:v>460</c:v>
                </c:pt>
                <c:pt idx="155">
                  <c:v>470</c:v>
                </c:pt>
                <c:pt idx="156">
                  <c:v>480</c:v>
                </c:pt>
                <c:pt idx="157">
                  <c:v>490</c:v>
                </c:pt>
                <c:pt idx="158">
                  <c:v>500</c:v>
                </c:pt>
                <c:pt idx="159">
                  <c:v>510</c:v>
                </c:pt>
                <c:pt idx="160">
                  <c:v>520</c:v>
                </c:pt>
                <c:pt idx="161">
                  <c:v>530</c:v>
                </c:pt>
                <c:pt idx="162">
                  <c:v>540</c:v>
                </c:pt>
                <c:pt idx="163">
                  <c:v>550</c:v>
                </c:pt>
                <c:pt idx="164">
                  <c:v>560</c:v>
                </c:pt>
                <c:pt idx="165">
                  <c:v>570</c:v>
                </c:pt>
                <c:pt idx="166">
                  <c:v>580</c:v>
                </c:pt>
                <c:pt idx="167">
                  <c:v>581</c:v>
                </c:pt>
                <c:pt idx="168">
                  <c:v>582</c:v>
                </c:pt>
                <c:pt idx="169">
                  <c:v>583</c:v>
                </c:pt>
                <c:pt idx="170">
                  <c:v>584</c:v>
                </c:pt>
                <c:pt idx="171">
                  <c:v>585</c:v>
                </c:pt>
                <c:pt idx="172">
                  <c:v>586</c:v>
                </c:pt>
                <c:pt idx="173">
                  <c:v>587</c:v>
                </c:pt>
                <c:pt idx="174">
                  <c:v>588</c:v>
                </c:pt>
                <c:pt idx="175">
                  <c:v>589</c:v>
                </c:pt>
                <c:pt idx="176">
                  <c:v>590</c:v>
                </c:pt>
                <c:pt idx="177">
                  <c:v>590</c:v>
                </c:pt>
                <c:pt idx="178">
                  <c:v>591</c:v>
                </c:pt>
                <c:pt idx="179">
                  <c:v>592</c:v>
                </c:pt>
                <c:pt idx="180">
                  <c:v>593</c:v>
                </c:pt>
                <c:pt idx="181">
                  <c:v>594</c:v>
                </c:pt>
                <c:pt idx="182">
                  <c:v>595</c:v>
                </c:pt>
                <c:pt idx="183">
                  <c:v>596</c:v>
                </c:pt>
                <c:pt idx="184">
                  <c:v>597</c:v>
                </c:pt>
                <c:pt idx="185">
                  <c:v>598</c:v>
                </c:pt>
                <c:pt idx="186">
                  <c:v>599</c:v>
                </c:pt>
                <c:pt idx="187">
                  <c:v>600</c:v>
                </c:pt>
                <c:pt idx="188">
                  <c:v>601</c:v>
                </c:pt>
                <c:pt idx="189">
                  <c:v>602</c:v>
                </c:pt>
                <c:pt idx="190">
                  <c:v>603</c:v>
                </c:pt>
                <c:pt idx="191">
                  <c:v>604</c:v>
                </c:pt>
                <c:pt idx="192">
                  <c:v>605</c:v>
                </c:pt>
                <c:pt idx="193">
                  <c:v>606</c:v>
                </c:pt>
                <c:pt idx="194">
                  <c:v>607</c:v>
                </c:pt>
                <c:pt idx="195">
                  <c:v>608</c:v>
                </c:pt>
                <c:pt idx="196">
                  <c:v>609</c:v>
                </c:pt>
                <c:pt idx="197">
                  <c:v>610</c:v>
                </c:pt>
                <c:pt idx="198">
                  <c:v>611</c:v>
                </c:pt>
                <c:pt idx="199">
                  <c:v>612</c:v>
                </c:pt>
                <c:pt idx="200">
                  <c:v>613</c:v>
                </c:pt>
                <c:pt idx="201">
                  <c:v>614</c:v>
                </c:pt>
                <c:pt idx="202">
                  <c:v>615</c:v>
                </c:pt>
                <c:pt idx="203">
                  <c:v>616</c:v>
                </c:pt>
                <c:pt idx="204">
                  <c:v>617</c:v>
                </c:pt>
                <c:pt idx="205">
                  <c:v>618</c:v>
                </c:pt>
                <c:pt idx="206">
                  <c:v>619</c:v>
                </c:pt>
                <c:pt idx="207">
                  <c:v>620</c:v>
                </c:pt>
                <c:pt idx="208">
                  <c:v>621</c:v>
                </c:pt>
                <c:pt idx="209">
                  <c:v>622</c:v>
                </c:pt>
                <c:pt idx="210">
                  <c:v>623</c:v>
                </c:pt>
                <c:pt idx="211">
                  <c:v>624</c:v>
                </c:pt>
                <c:pt idx="212">
                  <c:v>625</c:v>
                </c:pt>
                <c:pt idx="213">
                  <c:v>626</c:v>
                </c:pt>
                <c:pt idx="214">
                  <c:v>627</c:v>
                </c:pt>
                <c:pt idx="215">
                  <c:v>628</c:v>
                </c:pt>
                <c:pt idx="216">
                  <c:v>629</c:v>
                </c:pt>
                <c:pt idx="217">
                  <c:v>630</c:v>
                </c:pt>
                <c:pt idx="218">
                  <c:v>631</c:v>
                </c:pt>
                <c:pt idx="219">
                  <c:v>632</c:v>
                </c:pt>
                <c:pt idx="220">
                  <c:v>633</c:v>
                </c:pt>
                <c:pt idx="221">
                  <c:v>634</c:v>
                </c:pt>
                <c:pt idx="222">
                  <c:v>635</c:v>
                </c:pt>
                <c:pt idx="223">
                  <c:v>636</c:v>
                </c:pt>
                <c:pt idx="224">
                  <c:v>637</c:v>
                </c:pt>
                <c:pt idx="225">
                  <c:v>638</c:v>
                </c:pt>
                <c:pt idx="226">
                  <c:v>639</c:v>
                </c:pt>
                <c:pt idx="227">
                  <c:v>640</c:v>
                </c:pt>
                <c:pt idx="228">
                  <c:v>640</c:v>
                </c:pt>
                <c:pt idx="229">
                  <c:v>641</c:v>
                </c:pt>
                <c:pt idx="230">
                  <c:v>642</c:v>
                </c:pt>
                <c:pt idx="231">
                  <c:v>643</c:v>
                </c:pt>
                <c:pt idx="232">
                  <c:v>644</c:v>
                </c:pt>
                <c:pt idx="233">
                  <c:v>645</c:v>
                </c:pt>
                <c:pt idx="234">
                  <c:v>646</c:v>
                </c:pt>
                <c:pt idx="235">
                  <c:v>647</c:v>
                </c:pt>
                <c:pt idx="236">
                  <c:v>648</c:v>
                </c:pt>
                <c:pt idx="237">
                  <c:v>649</c:v>
                </c:pt>
                <c:pt idx="238">
                  <c:v>650</c:v>
                </c:pt>
              </c:numCache>
            </c:numRef>
          </c:xVal>
          <c:yVal>
            <c:numRef>
              <c:f>'measurement data'!$V$4:$V$241</c:f>
              <c:numCache>
                <c:formatCode>0.0</c:formatCode>
                <c:ptCount val="2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</c:v>
                </c:pt>
                <c:pt idx="20">
                  <c:v>0</c:v>
                </c:pt>
                <c:pt idx="21">
                  <c:v>-0.1</c:v>
                </c:pt>
                <c:pt idx="22">
                  <c:v>0.1</c:v>
                </c:pt>
                <c:pt idx="23">
                  <c:v>0</c:v>
                </c:pt>
                <c:pt idx="24">
                  <c:v>0.1</c:v>
                </c:pt>
                <c:pt idx="25">
                  <c:v>9.9999999999999978E-2</c:v>
                </c:pt>
                <c:pt idx="26">
                  <c:v>0.10000000000000003</c:v>
                </c:pt>
                <c:pt idx="27">
                  <c:v>0</c:v>
                </c:pt>
                <c:pt idx="28">
                  <c:v>9.9999999999999978E-2</c:v>
                </c:pt>
                <c:pt idx="29">
                  <c:v>9.9999999999999978E-2</c:v>
                </c:pt>
                <c:pt idx="30">
                  <c:v>9.9999999999999978E-2</c:v>
                </c:pt>
                <c:pt idx="31">
                  <c:v>0.10000000000000009</c:v>
                </c:pt>
                <c:pt idx="32">
                  <c:v>0</c:v>
                </c:pt>
                <c:pt idx="33">
                  <c:v>9.9999999999999978E-2</c:v>
                </c:pt>
                <c:pt idx="34">
                  <c:v>9.9999999999999978E-2</c:v>
                </c:pt>
                <c:pt idx="35">
                  <c:v>0.10000000000000009</c:v>
                </c:pt>
                <c:pt idx="36">
                  <c:v>9.9999999999999867E-2</c:v>
                </c:pt>
                <c:pt idx="37">
                  <c:v>0.10000000000000009</c:v>
                </c:pt>
                <c:pt idx="38">
                  <c:v>9.9999999999999867E-2</c:v>
                </c:pt>
                <c:pt idx="39">
                  <c:v>0.10000000000000009</c:v>
                </c:pt>
                <c:pt idx="40">
                  <c:v>0.10000000000000009</c:v>
                </c:pt>
                <c:pt idx="41">
                  <c:v>9.9999999999999867E-2</c:v>
                </c:pt>
                <c:pt idx="42">
                  <c:v>0.10000000000000009</c:v>
                </c:pt>
                <c:pt idx="43">
                  <c:v>9.9999999999999867E-2</c:v>
                </c:pt>
                <c:pt idx="44">
                  <c:v>0.10000000000000009</c:v>
                </c:pt>
                <c:pt idx="45">
                  <c:v>0.10000000000000009</c:v>
                </c:pt>
                <c:pt idx="46">
                  <c:v>0.10000000000000009</c:v>
                </c:pt>
                <c:pt idx="47">
                  <c:v>9.9999999999999645E-2</c:v>
                </c:pt>
                <c:pt idx="48">
                  <c:v>0.10000000000000009</c:v>
                </c:pt>
                <c:pt idx="49">
                  <c:v>0.10000000000000009</c:v>
                </c:pt>
                <c:pt idx="50">
                  <c:v>0.10000000000000009</c:v>
                </c:pt>
                <c:pt idx="51">
                  <c:v>0.10000000000000009</c:v>
                </c:pt>
                <c:pt idx="52">
                  <c:v>9.9999999999999645E-2</c:v>
                </c:pt>
                <c:pt idx="53">
                  <c:v>0.20000000000000018</c:v>
                </c:pt>
                <c:pt idx="54">
                  <c:v>0.10000000000000009</c:v>
                </c:pt>
                <c:pt idx="55">
                  <c:v>0.10000000000000009</c:v>
                </c:pt>
                <c:pt idx="56">
                  <c:v>9.9999999999999645E-2</c:v>
                </c:pt>
                <c:pt idx="57">
                  <c:v>0.20000000000000018</c:v>
                </c:pt>
                <c:pt idx="58">
                  <c:v>0.10000000000000009</c:v>
                </c:pt>
                <c:pt idx="59">
                  <c:v>0.10000000000000009</c:v>
                </c:pt>
                <c:pt idx="60">
                  <c:v>9.9999999999999645E-2</c:v>
                </c:pt>
                <c:pt idx="61">
                  <c:v>0.20000000000000018</c:v>
                </c:pt>
                <c:pt idx="62">
                  <c:v>9.9999999999999645E-2</c:v>
                </c:pt>
                <c:pt idx="63">
                  <c:v>0.10000000000000053</c:v>
                </c:pt>
                <c:pt idx="64">
                  <c:v>9.9999999999999645E-2</c:v>
                </c:pt>
                <c:pt idx="65">
                  <c:v>0.10000000000000053</c:v>
                </c:pt>
                <c:pt idx="66">
                  <c:v>9.9999999999999645E-2</c:v>
                </c:pt>
                <c:pt idx="67">
                  <c:v>0.20000000000000018</c:v>
                </c:pt>
                <c:pt idx="68">
                  <c:v>9.9999999999999645E-2</c:v>
                </c:pt>
                <c:pt idx="69">
                  <c:v>0.10000000000000053</c:v>
                </c:pt>
                <c:pt idx="70">
                  <c:v>0.19999999999999929</c:v>
                </c:pt>
                <c:pt idx="71">
                  <c:v>0.10000000000000053</c:v>
                </c:pt>
                <c:pt idx="72">
                  <c:v>9.9999999999999645E-2</c:v>
                </c:pt>
                <c:pt idx="73">
                  <c:v>0.10000000000000053</c:v>
                </c:pt>
                <c:pt idx="74">
                  <c:v>9.9999999999999645E-2</c:v>
                </c:pt>
                <c:pt idx="75">
                  <c:v>9.9999999999999645E-2</c:v>
                </c:pt>
                <c:pt idx="76">
                  <c:v>0.20000000000000018</c:v>
                </c:pt>
                <c:pt idx="77">
                  <c:v>0.10000000000000053</c:v>
                </c:pt>
                <c:pt idx="78">
                  <c:v>9.9999999999999645E-2</c:v>
                </c:pt>
                <c:pt idx="79">
                  <c:v>9.9999999999999645E-2</c:v>
                </c:pt>
                <c:pt idx="80">
                  <c:v>0.10000000000000053</c:v>
                </c:pt>
                <c:pt idx="81">
                  <c:v>9.9999999999999645E-2</c:v>
                </c:pt>
                <c:pt idx="82">
                  <c:v>0.20000000000000018</c:v>
                </c:pt>
                <c:pt idx="83">
                  <c:v>9.9999999999999645E-2</c:v>
                </c:pt>
                <c:pt idx="84">
                  <c:v>0.10000000000000053</c:v>
                </c:pt>
                <c:pt idx="85">
                  <c:v>9.9999999999999645E-2</c:v>
                </c:pt>
                <c:pt idx="86">
                  <c:v>0.10000000000000053</c:v>
                </c:pt>
                <c:pt idx="87">
                  <c:v>9.9999999999999645E-2</c:v>
                </c:pt>
                <c:pt idx="88">
                  <c:v>0.20000000000000018</c:v>
                </c:pt>
                <c:pt idx="89">
                  <c:v>9.9999999999999645E-2</c:v>
                </c:pt>
                <c:pt idx="90">
                  <c:v>0.10000000000000053</c:v>
                </c:pt>
                <c:pt idx="91">
                  <c:v>9.9999999999999645E-2</c:v>
                </c:pt>
                <c:pt idx="92">
                  <c:v>9.9999999999999645E-2</c:v>
                </c:pt>
                <c:pt idx="93">
                  <c:v>0.10000000000000053</c:v>
                </c:pt>
                <c:pt idx="94">
                  <c:v>9.9999999999999645E-2</c:v>
                </c:pt>
                <c:pt idx="95">
                  <c:v>0.10000000000000053</c:v>
                </c:pt>
                <c:pt idx="96">
                  <c:v>9.9999999999999645E-2</c:v>
                </c:pt>
                <c:pt idx="97">
                  <c:v>0.19999999999999929</c:v>
                </c:pt>
                <c:pt idx="98">
                  <c:v>0.10000000000000142</c:v>
                </c:pt>
                <c:pt idx="99">
                  <c:v>9.9999999999999645E-2</c:v>
                </c:pt>
                <c:pt idx="100">
                  <c:v>9.9999999999999645E-2</c:v>
                </c:pt>
                <c:pt idx="101">
                  <c:v>9.9999999999999645E-2</c:v>
                </c:pt>
                <c:pt idx="102">
                  <c:v>9.9999999999999645E-2</c:v>
                </c:pt>
                <c:pt idx="103">
                  <c:v>0.10000000000000142</c:v>
                </c:pt>
                <c:pt idx="104">
                  <c:v>9.9999999999999645E-2</c:v>
                </c:pt>
                <c:pt idx="105">
                  <c:v>9.9999999999999645E-2</c:v>
                </c:pt>
                <c:pt idx="106">
                  <c:v>9.9999999999999645E-2</c:v>
                </c:pt>
                <c:pt idx="107">
                  <c:v>9.9999999999999645E-2</c:v>
                </c:pt>
                <c:pt idx="108">
                  <c:v>0.10000000000000142</c:v>
                </c:pt>
                <c:pt idx="109">
                  <c:v>9.9999999999999645E-2</c:v>
                </c:pt>
                <c:pt idx="110">
                  <c:v>9.9999999999999645E-2</c:v>
                </c:pt>
                <c:pt idx="111">
                  <c:v>9.9999999999999645E-2</c:v>
                </c:pt>
                <c:pt idx="112">
                  <c:v>9.9999999999999645E-2</c:v>
                </c:pt>
                <c:pt idx="113">
                  <c:v>0.10000000000000142</c:v>
                </c:pt>
                <c:pt idx="114">
                  <c:v>9.9999999999999645E-2</c:v>
                </c:pt>
                <c:pt idx="115">
                  <c:v>9.9999999999999645E-2</c:v>
                </c:pt>
                <c:pt idx="116">
                  <c:v>9.9999999999999645E-2</c:v>
                </c:pt>
                <c:pt idx="117">
                  <c:v>9.9999999999999645E-2</c:v>
                </c:pt>
                <c:pt idx="118">
                  <c:v>0.10000000000000142</c:v>
                </c:pt>
                <c:pt idx="119">
                  <c:v>9.9999999999999645E-2</c:v>
                </c:pt>
                <c:pt idx="120">
                  <c:v>0.90000000000000036</c:v>
                </c:pt>
                <c:pt idx="121">
                  <c:v>0.89999999999999858</c:v>
                </c:pt>
                <c:pt idx="122">
                  <c:v>0.80000000000000071</c:v>
                </c:pt>
                <c:pt idx="123">
                  <c:v>0.80000000000000071</c:v>
                </c:pt>
                <c:pt idx="124">
                  <c:v>0.79999999999999893</c:v>
                </c:pt>
                <c:pt idx="125">
                  <c:v>0.80000000000000071</c:v>
                </c:pt>
                <c:pt idx="126">
                  <c:v>0.79999999999999893</c:v>
                </c:pt>
                <c:pt idx="127">
                  <c:v>0.80000000000000071</c:v>
                </c:pt>
                <c:pt idx="128">
                  <c:v>0.80000000000000071</c:v>
                </c:pt>
                <c:pt idx="129">
                  <c:v>0.69999999999999929</c:v>
                </c:pt>
                <c:pt idx="130">
                  <c:v>0.80000000000000071</c:v>
                </c:pt>
                <c:pt idx="131">
                  <c:v>0.80000000000000071</c:v>
                </c:pt>
                <c:pt idx="132">
                  <c:v>0.69999999999999929</c:v>
                </c:pt>
                <c:pt idx="133">
                  <c:v>0.80000000000000071</c:v>
                </c:pt>
                <c:pt idx="134">
                  <c:v>0.69999999999999929</c:v>
                </c:pt>
                <c:pt idx="135">
                  <c:v>0.80000000000000071</c:v>
                </c:pt>
                <c:pt idx="136">
                  <c:v>0.69999999999999929</c:v>
                </c:pt>
                <c:pt idx="137">
                  <c:v>0.80000000000000071</c:v>
                </c:pt>
                <c:pt idx="138">
                  <c:v>0.69999999999999929</c:v>
                </c:pt>
                <c:pt idx="139">
                  <c:v>0.69999999999999929</c:v>
                </c:pt>
                <c:pt idx="140">
                  <c:v>0.69999999999999929</c:v>
                </c:pt>
                <c:pt idx="141">
                  <c:v>0.80000000000000071</c:v>
                </c:pt>
                <c:pt idx="142">
                  <c:v>0.69999999999999929</c:v>
                </c:pt>
                <c:pt idx="143">
                  <c:v>0.69999999999999929</c:v>
                </c:pt>
                <c:pt idx="144">
                  <c:v>0.70000000000000284</c:v>
                </c:pt>
                <c:pt idx="145">
                  <c:v>0.69999999999999929</c:v>
                </c:pt>
                <c:pt idx="146">
                  <c:v>0.69999999999999929</c:v>
                </c:pt>
                <c:pt idx="147">
                  <c:v>0.69999999999999929</c:v>
                </c:pt>
                <c:pt idx="148">
                  <c:v>0.69999999999999929</c:v>
                </c:pt>
                <c:pt idx="149">
                  <c:v>0.70000000000000284</c:v>
                </c:pt>
                <c:pt idx="150">
                  <c:v>0.69999999999999574</c:v>
                </c:pt>
                <c:pt idx="151">
                  <c:v>0.70000000000000284</c:v>
                </c:pt>
                <c:pt idx="152">
                  <c:v>0.70000000000000284</c:v>
                </c:pt>
                <c:pt idx="153">
                  <c:v>0.69999999999999574</c:v>
                </c:pt>
                <c:pt idx="154">
                  <c:v>0.70000000000000284</c:v>
                </c:pt>
                <c:pt idx="155">
                  <c:v>0.69999999999999574</c:v>
                </c:pt>
                <c:pt idx="156">
                  <c:v>1.7000000000000028</c:v>
                </c:pt>
                <c:pt idx="157">
                  <c:v>-0.29999999999999716</c:v>
                </c:pt>
                <c:pt idx="158">
                  <c:v>0.79999999999999716</c:v>
                </c:pt>
                <c:pt idx="159">
                  <c:v>0.70000000000000284</c:v>
                </c:pt>
                <c:pt idx="160">
                  <c:v>0.79999999999999716</c:v>
                </c:pt>
                <c:pt idx="161">
                  <c:v>0.70000000000000284</c:v>
                </c:pt>
                <c:pt idx="162">
                  <c:v>0.79999999999999716</c:v>
                </c:pt>
                <c:pt idx="163">
                  <c:v>0.70000000000000284</c:v>
                </c:pt>
                <c:pt idx="164">
                  <c:v>0.79999999999999716</c:v>
                </c:pt>
                <c:pt idx="165">
                  <c:v>0.70000000000000284</c:v>
                </c:pt>
                <c:pt idx="166">
                  <c:v>9.9999999999994316E-2</c:v>
                </c:pt>
                <c:pt idx="167">
                  <c:v>0.10000000000000142</c:v>
                </c:pt>
                <c:pt idx="168">
                  <c:v>0.10000000000000142</c:v>
                </c:pt>
                <c:pt idx="169">
                  <c:v>0</c:v>
                </c:pt>
                <c:pt idx="170">
                  <c:v>0.10000000000000142</c:v>
                </c:pt>
                <c:pt idx="171">
                  <c:v>0.10000000000000142</c:v>
                </c:pt>
                <c:pt idx="172">
                  <c:v>0</c:v>
                </c:pt>
                <c:pt idx="173">
                  <c:v>9.9999999999994316E-2</c:v>
                </c:pt>
                <c:pt idx="174">
                  <c:v>0.10000000000000142</c:v>
                </c:pt>
                <c:pt idx="175">
                  <c:v>0.10000000000000142</c:v>
                </c:pt>
                <c:pt idx="176">
                  <c:v>0</c:v>
                </c:pt>
                <c:pt idx="177">
                  <c:v>0</c:v>
                </c:pt>
                <c:pt idx="178">
                  <c:v>0.10000000000000142</c:v>
                </c:pt>
                <c:pt idx="179">
                  <c:v>0.10000000000000142</c:v>
                </c:pt>
                <c:pt idx="180">
                  <c:v>0</c:v>
                </c:pt>
                <c:pt idx="181">
                  <c:v>9.9999999999994316E-2</c:v>
                </c:pt>
                <c:pt idx="182">
                  <c:v>0.10000000000000142</c:v>
                </c:pt>
                <c:pt idx="183">
                  <c:v>0.10000000000000142</c:v>
                </c:pt>
                <c:pt idx="184">
                  <c:v>0</c:v>
                </c:pt>
                <c:pt idx="185">
                  <c:v>0.10000000000000142</c:v>
                </c:pt>
                <c:pt idx="186">
                  <c:v>0.10000000000000142</c:v>
                </c:pt>
                <c:pt idx="187">
                  <c:v>0</c:v>
                </c:pt>
                <c:pt idx="188">
                  <c:v>9.9999999999994316E-2</c:v>
                </c:pt>
                <c:pt idx="189">
                  <c:v>0.10000000000000142</c:v>
                </c:pt>
                <c:pt idx="190">
                  <c:v>0</c:v>
                </c:pt>
                <c:pt idx="191">
                  <c:v>0.10000000000000142</c:v>
                </c:pt>
                <c:pt idx="192">
                  <c:v>0.10000000000000142</c:v>
                </c:pt>
                <c:pt idx="193">
                  <c:v>0.10000000000000142</c:v>
                </c:pt>
                <c:pt idx="194">
                  <c:v>0</c:v>
                </c:pt>
                <c:pt idx="195">
                  <c:v>9.9999999999994316E-2</c:v>
                </c:pt>
                <c:pt idx="196">
                  <c:v>0.10000000000000142</c:v>
                </c:pt>
                <c:pt idx="197">
                  <c:v>0</c:v>
                </c:pt>
                <c:pt idx="198">
                  <c:v>0.10000000000000142</c:v>
                </c:pt>
                <c:pt idx="199">
                  <c:v>0.10000000000000142</c:v>
                </c:pt>
                <c:pt idx="200">
                  <c:v>0</c:v>
                </c:pt>
                <c:pt idx="201">
                  <c:v>0.10000000000000142</c:v>
                </c:pt>
                <c:pt idx="202">
                  <c:v>9.9999999999994316E-2</c:v>
                </c:pt>
                <c:pt idx="203">
                  <c:v>0.10000000000000142</c:v>
                </c:pt>
                <c:pt idx="204">
                  <c:v>0.10000000000000142</c:v>
                </c:pt>
                <c:pt idx="205">
                  <c:v>0</c:v>
                </c:pt>
                <c:pt idx="206">
                  <c:v>0.10000000000000142</c:v>
                </c:pt>
                <c:pt idx="207">
                  <c:v>0.10000000000000142</c:v>
                </c:pt>
                <c:pt idx="208">
                  <c:v>9.9999999999994316E-2</c:v>
                </c:pt>
                <c:pt idx="209">
                  <c:v>0.10000000000000142</c:v>
                </c:pt>
                <c:pt idx="210">
                  <c:v>0.10000000000000142</c:v>
                </c:pt>
                <c:pt idx="211">
                  <c:v>0</c:v>
                </c:pt>
                <c:pt idx="212">
                  <c:v>0.10000000000000142</c:v>
                </c:pt>
                <c:pt idx="213">
                  <c:v>0.10000000000000142</c:v>
                </c:pt>
                <c:pt idx="214">
                  <c:v>9.9999999999994316E-2</c:v>
                </c:pt>
                <c:pt idx="215">
                  <c:v>0.10000000000000142</c:v>
                </c:pt>
                <c:pt idx="216">
                  <c:v>0</c:v>
                </c:pt>
                <c:pt idx="217">
                  <c:v>0.10000000000000142</c:v>
                </c:pt>
                <c:pt idx="218">
                  <c:v>0.10000000000000142</c:v>
                </c:pt>
                <c:pt idx="219">
                  <c:v>0.10000000000000142</c:v>
                </c:pt>
                <c:pt idx="220">
                  <c:v>0</c:v>
                </c:pt>
                <c:pt idx="221">
                  <c:v>9.9999999999994316E-2</c:v>
                </c:pt>
                <c:pt idx="222">
                  <c:v>0.10000000000000142</c:v>
                </c:pt>
                <c:pt idx="223">
                  <c:v>0.10000000000000142</c:v>
                </c:pt>
                <c:pt idx="224">
                  <c:v>0.10000000000000142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23-489C-A713-7C1B9F85C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16304"/>
        <c:axId val="173306704"/>
      </c:scatterChart>
      <c:valAx>
        <c:axId val="173316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06704"/>
        <c:crosses val="autoZero"/>
        <c:crossBetween val="midCat"/>
      </c:valAx>
      <c:valAx>
        <c:axId val="17330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1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Vgate jitter over 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'measurement data'!$U$2</c:f>
              <c:strCache>
                <c:ptCount val="1"/>
                <c:pt idx="0">
                  <c:v>Vsense gain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'measurement data'!$A$3:$A$241</c:f>
              <c:numCache>
                <c:formatCode>General</c:formatCode>
                <c:ptCount val="23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130</c:v>
                </c:pt>
                <c:pt idx="122">
                  <c:v>140</c:v>
                </c:pt>
                <c:pt idx="123">
                  <c:v>150</c:v>
                </c:pt>
                <c:pt idx="124">
                  <c:v>160</c:v>
                </c:pt>
                <c:pt idx="125">
                  <c:v>170</c:v>
                </c:pt>
                <c:pt idx="126">
                  <c:v>180</c:v>
                </c:pt>
                <c:pt idx="127">
                  <c:v>190</c:v>
                </c:pt>
                <c:pt idx="128">
                  <c:v>200</c:v>
                </c:pt>
                <c:pt idx="129">
                  <c:v>210</c:v>
                </c:pt>
                <c:pt idx="130">
                  <c:v>220</c:v>
                </c:pt>
                <c:pt idx="131">
                  <c:v>230</c:v>
                </c:pt>
                <c:pt idx="132">
                  <c:v>240</c:v>
                </c:pt>
                <c:pt idx="133">
                  <c:v>250</c:v>
                </c:pt>
                <c:pt idx="134">
                  <c:v>260</c:v>
                </c:pt>
                <c:pt idx="135">
                  <c:v>270</c:v>
                </c:pt>
                <c:pt idx="136">
                  <c:v>280</c:v>
                </c:pt>
                <c:pt idx="137">
                  <c:v>290</c:v>
                </c:pt>
                <c:pt idx="138">
                  <c:v>300</c:v>
                </c:pt>
                <c:pt idx="139">
                  <c:v>310</c:v>
                </c:pt>
                <c:pt idx="140">
                  <c:v>320</c:v>
                </c:pt>
                <c:pt idx="141">
                  <c:v>330</c:v>
                </c:pt>
                <c:pt idx="142">
                  <c:v>340</c:v>
                </c:pt>
                <c:pt idx="143">
                  <c:v>350</c:v>
                </c:pt>
                <c:pt idx="144">
                  <c:v>360</c:v>
                </c:pt>
                <c:pt idx="145">
                  <c:v>370</c:v>
                </c:pt>
                <c:pt idx="146">
                  <c:v>380</c:v>
                </c:pt>
                <c:pt idx="147">
                  <c:v>390</c:v>
                </c:pt>
                <c:pt idx="148">
                  <c:v>400</c:v>
                </c:pt>
                <c:pt idx="149">
                  <c:v>410</c:v>
                </c:pt>
                <c:pt idx="150">
                  <c:v>420</c:v>
                </c:pt>
                <c:pt idx="151">
                  <c:v>430</c:v>
                </c:pt>
                <c:pt idx="152">
                  <c:v>440</c:v>
                </c:pt>
                <c:pt idx="153">
                  <c:v>450</c:v>
                </c:pt>
                <c:pt idx="154">
                  <c:v>460</c:v>
                </c:pt>
                <c:pt idx="155">
                  <c:v>470</c:v>
                </c:pt>
                <c:pt idx="156">
                  <c:v>480</c:v>
                </c:pt>
                <c:pt idx="157">
                  <c:v>490</c:v>
                </c:pt>
                <c:pt idx="158">
                  <c:v>500</c:v>
                </c:pt>
                <c:pt idx="159">
                  <c:v>510</c:v>
                </c:pt>
                <c:pt idx="160">
                  <c:v>520</c:v>
                </c:pt>
                <c:pt idx="161">
                  <c:v>530</c:v>
                </c:pt>
                <c:pt idx="162">
                  <c:v>540</c:v>
                </c:pt>
                <c:pt idx="163">
                  <c:v>550</c:v>
                </c:pt>
                <c:pt idx="164">
                  <c:v>560</c:v>
                </c:pt>
                <c:pt idx="165">
                  <c:v>570</c:v>
                </c:pt>
                <c:pt idx="166">
                  <c:v>580</c:v>
                </c:pt>
                <c:pt idx="167">
                  <c:v>581</c:v>
                </c:pt>
                <c:pt idx="168">
                  <c:v>582</c:v>
                </c:pt>
                <c:pt idx="169">
                  <c:v>583</c:v>
                </c:pt>
                <c:pt idx="170">
                  <c:v>584</c:v>
                </c:pt>
                <c:pt idx="171">
                  <c:v>585</c:v>
                </c:pt>
                <c:pt idx="172">
                  <c:v>586</c:v>
                </c:pt>
                <c:pt idx="173">
                  <c:v>587</c:v>
                </c:pt>
                <c:pt idx="174">
                  <c:v>588</c:v>
                </c:pt>
                <c:pt idx="175">
                  <c:v>589</c:v>
                </c:pt>
                <c:pt idx="176">
                  <c:v>590</c:v>
                </c:pt>
                <c:pt idx="177">
                  <c:v>590</c:v>
                </c:pt>
                <c:pt idx="178">
                  <c:v>591</c:v>
                </c:pt>
                <c:pt idx="179">
                  <c:v>592</c:v>
                </c:pt>
                <c:pt idx="180">
                  <c:v>593</c:v>
                </c:pt>
                <c:pt idx="181">
                  <c:v>594</c:v>
                </c:pt>
                <c:pt idx="182">
                  <c:v>595</c:v>
                </c:pt>
                <c:pt idx="183">
                  <c:v>596</c:v>
                </c:pt>
                <c:pt idx="184">
                  <c:v>597</c:v>
                </c:pt>
                <c:pt idx="185">
                  <c:v>598</c:v>
                </c:pt>
                <c:pt idx="186">
                  <c:v>599</c:v>
                </c:pt>
                <c:pt idx="187">
                  <c:v>600</c:v>
                </c:pt>
                <c:pt idx="188">
                  <c:v>601</c:v>
                </c:pt>
                <c:pt idx="189">
                  <c:v>602</c:v>
                </c:pt>
                <c:pt idx="190">
                  <c:v>603</c:v>
                </c:pt>
                <c:pt idx="191">
                  <c:v>604</c:v>
                </c:pt>
                <c:pt idx="192">
                  <c:v>605</c:v>
                </c:pt>
                <c:pt idx="193">
                  <c:v>606</c:v>
                </c:pt>
                <c:pt idx="194">
                  <c:v>607</c:v>
                </c:pt>
                <c:pt idx="195">
                  <c:v>608</c:v>
                </c:pt>
                <c:pt idx="196">
                  <c:v>609</c:v>
                </c:pt>
                <c:pt idx="197">
                  <c:v>610</c:v>
                </c:pt>
                <c:pt idx="198">
                  <c:v>611</c:v>
                </c:pt>
                <c:pt idx="199">
                  <c:v>612</c:v>
                </c:pt>
                <c:pt idx="200">
                  <c:v>613</c:v>
                </c:pt>
                <c:pt idx="201">
                  <c:v>614</c:v>
                </c:pt>
                <c:pt idx="202">
                  <c:v>615</c:v>
                </c:pt>
                <c:pt idx="203">
                  <c:v>616</c:v>
                </c:pt>
                <c:pt idx="204">
                  <c:v>617</c:v>
                </c:pt>
                <c:pt idx="205">
                  <c:v>618</c:v>
                </c:pt>
                <c:pt idx="206">
                  <c:v>619</c:v>
                </c:pt>
                <c:pt idx="207">
                  <c:v>620</c:v>
                </c:pt>
                <c:pt idx="208">
                  <c:v>621</c:v>
                </c:pt>
                <c:pt idx="209">
                  <c:v>622</c:v>
                </c:pt>
                <c:pt idx="210">
                  <c:v>623</c:v>
                </c:pt>
                <c:pt idx="211">
                  <c:v>624</c:v>
                </c:pt>
                <c:pt idx="212">
                  <c:v>625</c:v>
                </c:pt>
                <c:pt idx="213">
                  <c:v>626</c:v>
                </c:pt>
                <c:pt idx="214">
                  <c:v>627</c:v>
                </c:pt>
                <c:pt idx="215">
                  <c:v>628</c:v>
                </c:pt>
                <c:pt idx="216">
                  <c:v>629</c:v>
                </c:pt>
                <c:pt idx="217">
                  <c:v>630</c:v>
                </c:pt>
                <c:pt idx="218">
                  <c:v>631</c:v>
                </c:pt>
                <c:pt idx="219">
                  <c:v>632</c:v>
                </c:pt>
                <c:pt idx="220">
                  <c:v>633</c:v>
                </c:pt>
                <c:pt idx="221">
                  <c:v>634</c:v>
                </c:pt>
                <c:pt idx="222">
                  <c:v>635</c:v>
                </c:pt>
                <c:pt idx="223">
                  <c:v>636</c:v>
                </c:pt>
                <c:pt idx="224">
                  <c:v>637</c:v>
                </c:pt>
                <c:pt idx="225">
                  <c:v>638</c:v>
                </c:pt>
                <c:pt idx="226">
                  <c:v>639</c:v>
                </c:pt>
                <c:pt idx="227">
                  <c:v>640</c:v>
                </c:pt>
                <c:pt idx="228">
                  <c:v>640</c:v>
                </c:pt>
                <c:pt idx="229">
                  <c:v>641</c:v>
                </c:pt>
                <c:pt idx="230">
                  <c:v>642</c:v>
                </c:pt>
                <c:pt idx="231">
                  <c:v>643</c:v>
                </c:pt>
                <c:pt idx="232">
                  <c:v>644</c:v>
                </c:pt>
                <c:pt idx="233">
                  <c:v>645</c:v>
                </c:pt>
                <c:pt idx="234">
                  <c:v>646</c:v>
                </c:pt>
                <c:pt idx="235">
                  <c:v>647</c:v>
                </c:pt>
                <c:pt idx="236">
                  <c:v>648</c:v>
                </c:pt>
                <c:pt idx="237">
                  <c:v>649</c:v>
                </c:pt>
                <c:pt idx="238">
                  <c:v>650</c:v>
                </c:pt>
              </c:numCache>
            </c:numRef>
          </c:xVal>
          <c:yVal>
            <c:numRef>
              <c:f>'measurement data'!$W$54:$W$228</c:f>
              <c:numCache>
                <c:formatCode>0.000</c:formatCode>
                <c:ptCount val="175"/>
                <c:pt idx="0">
                  <c:v>7.0000000000000062E-3</c:v>
                </c:pt>
                <c:pt idx="1">
                  <c:v>6.0000000000000053E-3</c:v>
                </c:pt>
                <c:pt idx="2">
                  <c:v>7.0000000000000062E-3</c:v>
                </c:pt>
                <c:pt idx="3">
                  <c:v>6.0000000000000053E-3</c:v>
                </c:pt>
                <c:pt idx="4">
                  <c:v>6.0000000000000053E-3</c:v>
                </c:pt>
                <c:pt idx="5">
                  <c:v>5.0000000000000044E-3</c:v>
                </c:pt>
                <c:pt idx="6">
                  <c:v>6.0000000000000053E-3</c:v>
                </c:pt>
                <c:pt idx="7">
                  <c:v>5.0000000000000044E-3</c:v>
                </c:pt>
                <c:pt idx="8">
                  <c:v>4.0000000000000036E-3</c:v>
                </c:pt>
                <c:pt idx="9">
                  <c:v>5.0000000000000044E-3</c:v>
                </c:pt>
                <c:pt idx="10">
                  <c:v>5.0000000000000044E-3</c:v>
                </c:pt>
                <c:pt idx="11">
                  <c:v>4.0000000000000036E-3</c:v>
                </c:pt>
                <c:pt idx="12">
                  <c:v>4.0000000000000036E-3</c:v>
                </c:pt>
                <c:pt idx="13">
                  <c:v>5.0000000000000044E-3</c:v>
                </c:pt>
                <c:pt idx="14">
                  <c:v>4.0000000000000036E-3</c:v>
                </c:pt>
                <c:pt idx="15">
                  <c:v>3.0000000000000027E-3</c:v>
                </c:pt>
                <c:pt idx="16">
                  <c:v>4.0000000000000036E-3</c:v>
                </c:pt>
                <c:pt idx="17">
                  <c:v>3.0000000000000027E-3</c:v>
                </c:pt>
                <c:pt idx="18">
                  <c:v>4.0000000000000036E-3</c:v>
                </c:pt>
                <c:pt idx="19">
                  <c:v>3.0000000000000027E-3</c:v>
                </c:pt>
                <c:pt idx="20">
                  <c:v>3.0000000000000027E-3</c:v>
                </c:pt>
                <c:pt idx="21">
                  <c:v>3.0000000000000027E-3</c:v>
                </c:pt>
                <c:pt idx="22">
                  <c:v>3.0000000000000027E-3</c:v>
                </c:pt>
                <c:pt idx="23">
                  <c:v>3.0000000000000027E-3</c:v>
                </c:pt>
                <c:pt idx="24">
                  <c:v>3.0000000000000027E-3</c:v>
                </c:pt>
                <c:pt idx="25">
                  <c:v>2.0000000000000018E-3</c:v>
                </c:pt>
                <c:pt idx="26">
                  <c:v>2.9999999999998916E-3</c:v>
                </c:pt>
                <c:pt idx="27">
                  <c:v>3.0000000000000027E-3</c:v>
                </c:pt>
                <c:pt idx="28">
                  <c:v>2.0000000000000018E-3</c:v>
                </c:pt>
                <c:pt idx="29">
                  <c:v>2.0000000000000018E-3</c:v>
                </c:pt>
                <c:pt idx="30">
                  <c:v>3.0000000000000027E-3</c:v>
                </c:pt>
                <c:pt idx="31">
                  <c:v>2.0000000000000018E-3</c:v>
                </c:pt>
                <c:pt idx="32">
                  <c:v>2.0000000000000018E-3</c:v>
                </c:pt>
                <c:pt idx="33">
                  <c:v>2.0000000000000018E-3</c:v>
                </c:pt>
                <c:pt idx="34">
                  <c:v>2.0000000000000018E-3</c:v>
                </c:pt>
                <c:pt idx="35">
                  <c:v>2.0000000000000018E-3</c:v>
                </c:pt>
                <c:pt idx="36">
                  <c:v>2.0000000000000018E-3</c:v>
                </c:pt>
                <c:pt idx="37">
                  <c:v>2.0000000000000018E-3</c:v>
                </c:pt>
                <c:pt idx="38">
                  <c:v>2.0000000000000018E-3</c:v>
                </c:pt>
                <c:pt idx="39">
                  <c:v>2.0000000000000018E-3</c:v>
                </c:pt>
                <c:pt idx="40">
                  <c:v>1.0000000000000009E-3</c:v>
                </c:pt>
                <c:pt idx="41">
                  <c:v>2.0000000000000018E-3</c:v>
                </c:pt>
                <c:pt idx="42">
                  <c:v>2.0000000000000018E-3</c:v>
                </c:pt>
                <c:pt idx="43">
                  <c:v>1.0000000000000009E-3</c:v>
                </c:pt>
                <c:pt idx="44">
                  <c:v>2.0000000000000018E-3</c:v>
                </c:pt>
                <c:pt idx="45">
                  <c:v>1.0000000000000009E-3</c:v>
                </c:pt>
                <c:pt idx="46">
                  <c:v>2.0000000000000018E-3</c:v>
                </c:pt>
                <c:pt idx="47">
                  <c:v>1.0000000000000009E-3</c:v>
                </c:pt>
                <c:pt idx="48">
                  <c:v>2.0000000000000018E-3</c:v>
                </c:pt>
                <c:pt idx="49">
                  <c:v>1.0000000000000009E-3</c:v>
                </c:pt>
                <c:pt idx="50">
                  <c:v>2.0000000000000018E-3</c:v>
                </c:pt>
                <c:pt idx="51">
                  <c:v>1.0000000000000009E-3</c:v>
                </c:pt>
                <c:pt idx="52">
                  <c:v>1.0000000000000009E-3</c:v>
                </c:pt>
                <c:pt idx="53">
                  <c:v>2.0000000000000018E-3</c:v>
                </c:pt>
                <c:pt idx="54">
                  <c:v>1.0000000000000009E-3</c:v>
                </c:pt>
                <c:pt idx="55">
                  <c:v>1.0000000000000009E-3</c:v>
                </c:pt>
                <c:pt idx="56">
                  <c:v>1.0000000000000009E-3</c:v>
                </c:pt>
                <c:pt idx="57">
                  <c:v>2.0000000000000018E-3</c:v>
                </c:pt>
                <c:pt idx="58">
                  <c:v>1.0000000000000009E-3</c:v>
                </c:pt>
                <c:pt idx="59">
                  <c:v>1.0000000000000009E-3</c:v>
                </c:pt>
                <c:pt idx="60">
                  <c:v>1.0000000000000009E-3</c:v>
                </c:pt>
                <c:pt idx="61">
                  <c:v>1.0000000000000009E-3</c:v>
                </c:pt>
                <c:pt idx="62">
                  <c:v>1.0000000000000009E-3</c:v>
                </c:pt>
                <c:pt idx="63">
                  <c:v>1.0000000000000009E-3</c:v>
                </c:pt>
                <c:pt idx="64">
                  <c:v>1.0000000000000009E-3</c:v>
                </c:pt>
                <c:pt idx="65">
                  <c:v>1.0000000000000009E-3</c:v>
                </c:pt>
                <c:pt idx="66">
                  <c:v>1.0000000000000009E-3</c:v>
                </c:pt>
                <c:pt idx="67">
                  <c:v>1.0000000000000009E-3</c:v>
                </c:pt>
                <c:pt idx="68">
                  <c:v>1.0000000000000009E-3</c:v>
                </c:pt>
                <c:pt idx="69">
                  <c:v>1.0000000000000009E-3</c:v>
                </c:pt>
                <c:pt idx="70">
                  <c:v>7.0000000000000062E-3</c:v>
                </c:pt>
                <c:pt idx="71">
                  <c:v>8.0000000000000071E-3</c:v>
                </c:pt>
                <c:pt idx="72">
                  <c:v>6.0000000000000053E-3</c:v>
                </c:pt>
                <c:pt idx="73">
                  <c:v>6.0000000000000053E-3</c:v>
                </c:pt>
                <c:pt idx="74">
                  <c:v>4.0000000000000036E-3</c:v>
                </c:pt>
                <c:pt idx="75">
                  <c:v>5.0000000000000044E-3</c:v>
                </c:pt>
                <c:pt idx="76">
                  <c:v>4.0000000000000036E-3</c:v>
                </c:pt>
                <c:pt idx="77">
                  <c:v>3.0000000000000027E-3</c:v>
                </c:pt>
                <c:pt idx="78">
                  <c:v>3.0000000000000027E-3</c:v>
                </c:pt>
                <c:pt idx="79">
                  <c:v>3.0000000000000027E-3</c:v>
                </c:pt>
                <c:pt idx="80">
                  <c:v>3.0000000000000027E-3</c:v>
                </c:pt>
                <c:pt idx="81">
                  <c:v>2.0000000000000018E-3</c:v>
                </c:pt>
                <c:pt idx="82">
                  <c:v>3.0000000000000027E-3</c:v>
                </c:pt>
                <c:pt idx="83">
                  <c:v>1.9999999999998908E-3</c:v>
                </c:pt>
                <c:pt idx="84">
                  <c:v>3.0000000000000027E-3</c:v>
                </c:pt>
                <c:pt idx="85">
                  <c:v>2.0000000000000018E-3</c:v>
                </c:pt>
                <c:pt idx="86">
                  <c:v>2.0000000000000018E-3</c:v>
                </c:pt>
                <c:pt idx="87">
                  <c:v>1.0000000000000009E-3</c:v>
                </c:pt>
                <c:pt idx="88">
                  <c:v>3.0000000000000027E-3</c:v>
                </c:pt>
                <c:pt idx="89">
                  <c:v>2.0000000000000018E-3</c:v>
                </c:pt>
                <c:pt idx="90">
                  <c:v>2.0000000000000018E-3</c:v>
                </c:pt>
                <c:pt idx="91">
                  <c:v>1.0000000000000009E-3</c:v>
                </c:pt>
                <c:pt idx="92">
                  <c:v>2.0000000000000018E-3</c:v>
                </c:pt>
                <c:pt idx="93">
                  <c:v>0</c:v>
                </c:pt>
                <c:pt idx="94">
                  <c:v>2.0000000000000018E-3</c:v>
                </c:pt>
                <c:pt idx="95">
                  <c:v>2.0000000000000018E-3</c:v>
                </c:pt>
                <c:pt idx="96">
                  <c:v>2.0000000000000018E-3</c:v>
                </c:pt>
                <c:pt idx="97">
                  <c:v>2.0000000000000018E-3</c:v>
                </c:pt>
                <c:pt idx="98">
                  <c:v>2.0000000000000018E-3</c:v>
                </c:pt>
                <c:pt idx="99">
                  <c:v>2.0000000000000018E-3</c:v>
                </c:pt>
                <c:pt idx="100">
                  <c:v>2.0000000000000018E-3</c:v>
                </c:pt>
                <c:pt idx="101">
                  <c:v>2.0000000000000018E-3</c:v>
                </c:pt>
                <c:pt idx="102">
                  <c:v>2.0000000000000018E-3</c:v>
                </c:pt>
                <c:pt idx="103">
                  <c:v>2.0000000000000018E-3</c:v>
                </c:pt>
                <c:pt idx="104">
                  <c:v>3.0000000000000027E-3</c:v>
                </c:pt>
                <c:pt idx="105">
                  <c:v>1.0000000000000009E-3</c:v>
                </c:pt>
                <c:pt idx="106">
                  <c:v>2.0000000000000018E-3</c:v>
                </c:pt>
                <c:pt idx="107">
                  <c:v>2.0000000000000018E-3</c:v>
                </c:pt>
                <c:pt idx="108">
                  <c:v>2.0000000000000018E-3</c:v>
                </c:pt>
                <c:pt idx="109">
                  <c:v>3.0000000000000027E-3</c:v>
                </c:pt>
                <c:pt idx="110">
                  <c:v>2.0000000000000018E-3</c:v>
                </c:pt>
                <c:pt idx="111">
                  <c:v>3.0000000000000027E-3</c:v>
                </c:pt>
                <c:pt idx="112">
                  <c:v>3.0000000000000027E-3</c:v>
                </c:pt>
                <c:pt idx="113">
                  <c:v>2.0000000000000018E-3</c:v>
                </c:pt>
                <c:pt idx="114">
                  <c:v>2.9999999999998916E-3</c:v>
                </c:pt>
                <c:pt idx="115">
                  <c:v>3.0000000000001137E-3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9.9999999999988987E-4</c:v>
                </c:pt>
                <c:pt idx="120">
                  <c:v>0</c:v>
                </c:pt>
                <c:pt idx="121">
                  <c:v>1.0000000000001119E-3</c:v>
                </c:pt>
                <c:pt idx="122">
                  <c:v>0</c:v>
                </c:pt>
                <c:pt idx="123">
                  <c:v>9.9999999999988987E-4</c:v>
                </c:pt>
                <c:pt idx="124">
                  <c:v>1.0000000000001119E-3</c:v>
                </c:pt>
                <c:pt idx="125">
                  <c:v>9.9999999999988987E-4</c:v>
                </c:pt>
                <c:pt idx="126">
                  <c:v>1.0000000000001119E-3</c:v>
                </c:pt>
                <c:pt idx="127">
                  <c:v>0</c:v>
                </c:pt>
                <c:pt idx="128">
                  <c:v>9.9999999999988987E-4</c:v>
                </c:pt>
                <c:pt idx="129">
                  <c:v>1.0000000000001119E-3</c:v>
                </c:pt>
                <c:pt idx="130">
                  <c:v>9.9999999999988987E-4</c:v>
                </c:pt>
                <c:pt idx="131">
                  <c:v>1.0000000000001119E-3</c:v>
                </c:pt>
                <c:pt idx="132">
                  <c:v>9.9999999999988987E-4</c:v>
                </c:pt>
                <c:pt idx="133">
                  <c:v>1.0000000000001119E-3</c:v>
                </c:pt>
                <c:pt idx="134">
                  <c:v>2.0000000000000018E-3</c:v>
                </c:pt>
                <c:pt idx="135">
                  <c:v>9.9999999999988987E-4</c:v>
                </c:pt>
                <c:pt idx="136">
                  <c:v>2.0000000000000018E-3</c:v>
                </c:pt>
                <c:pt idx="137">
                  <c:v>2.0000000000000018E-3</c:v>
                </c:pt>
                <c:pt idx="138">
                  <c:v>2.0000000000000018E-3</c:v>
                </c:pt>
                <c:pt idx="139">
                  <c:v>2.0000000000000018E-3</c:v>
                </c:pt>
                <c:pt idx="140">
                  <c:v>2.0000000000000018E-3</c:v>
                </c:pt>
                <c:pt idx="141">
                  <c:v>2.0000000000000018E-3</c:v>
                </c:pt>
                <c:pt idx="142">
                  <c:v>3.0000000000001137E-3</c:v>
                </c:pt>
                <c:pt idx="143">
                  <c:v>2.0000000000000018E-3</c:v>
                </c:pt>
                <c:pt idx="144">
                  <c:v>4.0000000000000036E-3</c:v>
                </c:pt>
                <c:pt idx="145">
                  <c:v>2.0000000000000018E-3</c:v>
                </c:pt>
                <c:pt idx="146">
                  <c:v>2.9999999999998916E-3</c:v>
                </c:pt>
                <c:pt idx="147">
                  <c:v>4.0000000000000036E-3</c:v>
                </c:pt>
                <c:pt idx="148">
                  <c:v>3.0000000000001137E-3</c:v>
                </c:pt>
                <c:pt idx="149">
                  <c:v>4.0000000000000036E-3</c:v>
                </c:pt>
                <c:pt idx="150">
                  <c:v>-1.0000000000001119E-3</c:v>
                </c:pt>
                <c:pt idx="151">
                  <c:v>3.0000000000001137E-3</c:v>
                </c:pt>
                <c:pt idx="152">
                  <c:v>-4.0000000000000036E-3</c:v>
                </c:pt>
                <c:pt idx="153">
                  <c:v>2.0000000000000018E-3</c:v>
                </c:pt>
                <c:pt idx="154">
                  <c:v>-4.0000000000000036E-3</c:v>
                </c:pt>
                <c:pt idx="155">
                  <c:v>2.0000000000000018E-3</c:v>
                </c:pt>
                <c:pt idx="156">
                  <c:v>-5.0000000000001155E-3</c:v>
                </c:pt>
                <c:pt idx="157">
                  <c:v>2.0000000000000018E-3</c:v>
                </c:pt>
                <c:pt idx="158">
                  <c:v>-4.0000000000000036E-3</c:v>
                </c:pt>
                <c:pt idx="159">
                  <c:v>1.0000000000001119E-3</c:v>
                </c:pt>
                <c:pt idx="160">
                  <c:v>-5.0000000000001155E-3</c:v>
                </c:pt>
                <c:pt idx="161">
                  <c:v>1.0000000000001119E-3</c:v>
                </c:pt>
                <c:pt idx="162">
                  <c:v>-8.0000000000000071E-3</c:v>
                </c:pt>
                <c:pt idx="163">
                  <c:v>-2.0000000000000018E-3</c:v>
                </c:pt>
                <c:pt idx="164">
                  <c:v>-5.0000000000001155E-3</c:v>
                </c:pt>
                <c:pt idx="165">
                  <c:v>-2.0000000000000018E-3</c:v>
                </c:pt>
                <c:pt idx="166">
                  <c:v>-4.9999999999998934E-3</c:v>
                </c:pt>
                <c:pt idx="167">
                  <c:v>9.9999999999988987E-4</c:v>
                </c:pt>
                <c:pt idx="168">
                  <c:v>4.0000000000000036E-3</c:v>
                </c:pt>
                <c:pt idx="169">
                  <c:v>4.0000000000000036E-3</c:v>
                </c:pt>
                <c:pt idx="170">
                  <c:v>6.0000000000000053E-3</c:v>
                </c:pt>
                <c:pt idx="171">
                  <c:v>1.2000000000000011E-2</c:v>
                </c:pt>
                <c:pt idx="172">
                  <c:v>1.7000000000000126E-2</c:v>
                </c:pt>
                <c:pt idx="173">
                  <c:v>3.6999999999999922E-2</c:v>
                </c:pt>
                <c:pt idx="174">
                  <c:v>0.10499999999999998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EB-4E02-8F32-69CDEEBB8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16304"/>
        <c:axId val="173306704"/>
      </c:scatterChart>
      <c:valAx>
        <c:axId val="173316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06704"/>
        <c:crosses val="autoZero"/>
        <c:crossBetween val="midCat"/>
      </c:valAx>
      <c:valAx>
        <c:axId val="17330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1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_xlchart.v1.4</cx:f>
      </cx:numDim>
    </cx:data>
  </cx:chartData>
  <cx:chart>
    <cx:title pos="t" align="ctr" overlay="0">
      <cx:tx>
        <cx:txData>
          <cx:v>Vsense jitter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Vsense jitter</a:t>
          </a:r>
        </a:p>
      </cx:txPr>
    </cx:title>
    <cx:plotArea>
      <cx:plotAreaRegion>
        <cx:series layoutId="clusteredColumn" uniqueId="{395E546C-742C-43AD-8E7E-47AFDCF1845D}" formatIdx="0">
          <cx:dataId val="0"/>
          <cx:layoutPr>
            <cx:binning intervalClosed="r"/>
          </cx:layoutPr>
        </cx:series>
        <cx:series layoutId="clusteredColumn" hidden="1" uniqueId="{00000001-3FB0-4440-AB0E-375451EB06BE}" formatIdx="1">
          <cx:tx>
            <cx:txData>
              <cx:f>_xlchart.v1.3</cx:f>
              <cx:v>Vsense jitter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_xlchart.v1.1</cx:f>
      </cx:numDim>
    </cx:data>
  </cx:chartData>
  <cx:chart>
    <cx:title pos="t" align="ctr" overlay="0">
      <cx:tx>
        <cx:txData>
          <cx:v>Vgate jitter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Vgate jitter</a:t>
          </a:r>
        </a:p>
      </cx:txPr>
    </cx:title>
    <cx:plotArea>
      <cx:plotAreaRegion>
        <cx:series layoutId="clusteredColumn" uniqueId="{395E546C-742C-43AD-8E7E-47AFDCF1845D}" formatIdx="0">
          <cx:dataId val="0"/>
          <cx:layoutPr>
            <cx:binning intervalClosed="r" underflow="0.0010000000000000002" overflow="0.010000000000000002">
              <cx:binSize val="0.0010000000000000002"/>
            </cx:binning>
          </cx:layoutPr>
        </cx:series>
        <cx:series layoutId="clusteredColumn" hidden="1" uniqueId="{00000001-3FB0-4440-AB0E-375451EB06BE}" formatIdx="1">
          <cx:tx>
            <cx:txData>
              <cx:f>_xlchart.v1.0</cx:f>
              <cx:v>Vsense jitter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.5"/>
        <cx:tickLabels/>
        <cx:numFmt formatCode="0.00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microsoft.com/office/2014/relationships/chartEx" Target="../charts/chartEx1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4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microsoft.com/office/2014/relationships/chartEx" Target="../charts/chartEx2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579120</xdr:colOff>
      <xdr:row>1</xdr:row>
      <xdr:rowOff>175260</xdr:rowOff>
    </xdr:from>
    <xdr:to>
      <xdr:col>8</xdr:col>
      <xdr:colOff>274320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81C100-4B45-4E53-BD9A-80DCA15DE4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601980</xdr:colOff>
      <xdr:row>18</xdr:row>
      <xdr:rowOff>160020</xdr:rowOff>
    </xdr:from>
    <xdr:to>
      <xdr:col>8</xdr:col>
      <xdr:colOff>297180</xdr:colOff>
      <xdr:row>33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0F4AC6-8A49-4DDE-90F8-C8B5E53AC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53340</xdr:colOff>
      <xdr:row>2</xdr:row>
      <xdr:rowOff>7620</xdr:rowOff>
    </xdr:from>
    <xdr:to>
      <xdr:col>16</xdr:col>
      <xdr:colOff>358140</xdr:colOff>
      <xdr:row>17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03B8DB-0DEA-452F-9825-61F0A41322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502920</xdr:colOff>
      <xdr:row>2</xdr:row>
      <xdr:rowOff>15240</xdr:rowOff>
    </xdr:from>
    <xdr:to>
      <xdr:col>24</xdr:col>
      <xdr:colOff>198120</xdr:colOff>
      <xdr:row>17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851512-CFE1-4D17-B7EA-4A3C5B670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45720</xdr:colOff>
      <xdr:row>36</xdr:row>
      <xdr:rowOff>15240</xdr:rowOff>
    </xdr:from>
    <xdr:to>
      <xdr:col>8</xdr:col>
      <xdr:colOff>350520</xdr:colOff>
      <xdr:row>51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28AC13-2003-434F-A601-3A2D09E742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502920</xdr:colOff>
      <xdr:row>1</xdr:row>
      <xdr:rowOff>175260</xdr:rowOff>
    </xdr:from>
    <xdr:to>
      <xdr:col>32</xdr:col>
      <xdr:colOff>198120</xdr:colOff>
      <xdr:row>16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52A7062-1236-4CB0-A952-C4D1A195DC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7620</xdr:colOff>
      <xdr:row>19</xdr:row>
      <xdr:rowOff>7620</xdr:rowOff>
    </xdr:from>
    <xdr:to>
      <xdr:col>16</xdr:col>
      <xdr:colOff>312420</xdr:colOff>
      <xdr:row>34</xdr:row>
      <xdr:rowOff>7620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5D6BCB5-D039-4C47-AB44-62FA84DFBD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198120</xdr:colOff>
      <xdr:row>35</xdr:row>
      <xdr:rowOff>167640</xdr:rowOff>
    </xdr:from>
    <xdr:to>
      <xdr:col>16</xdr:col>
      <xdr:colOff>502920</xdr:colOff>
      <xdr:row>50</xdr:row>
      <xdr:rowOff>167640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4EE454F-9495-4F30-9DB1-714DD3EC3F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601980</xdr:colOff>
      <xdr:row>55</xdr:row>
      <xdr:rowOff>30480</xdr:rowOff>
    </xdr:from>
    <xdr:to>
      <xdr:col>8</xdr:col>
      <xdr:colOff>297180</xdr:colOff>
      <xdr:row>70</xdr:row>
      <xdr:rowOff>30480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A6B7A0A-AFB4-2EFF-7F03-05E67E7A5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396240</xdr:colOff>
      <xdr:row>35</xdr:row>
      <xdr:rowOff>152400</xdr:rowOff>
    </xdr:from>
    <xdr:to>
      <xdr:col>25</xdr:col>
      <xdr:colOff>91440</xdr:colOff>
      <xdr:row>50</xdr:row>
      <xdr:rowOff>152400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B2D80C4-A992-4863-8E90-6AA59A7601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129540</xdr:colOff>
      <xdr:row>19</xdr:row>
      <xdr:rowOff>45720</xdr:rowOff>
    </xdr:from>
    <xdr:to>
      <xdr:col>24</xdr:col>
      <xdr:colOff>434340</xdr:colOff>
      <xdr:row>34</xdr:row>
      <xdr:rowOff>45720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D9FBDDA-AFF5-479B-8076-1AD0270E72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236220</xdr:colOff>
      <xdr:row>55</xdr:row>
      <xdr:rowOff>15240</xdr:rowOff>
    </xdr:from>
    <xdr:to>
      <xdr:col>16</xdr:col>
      <xdr:colOff>541020</xdr:colOff>
      <xdr:row>70</xdr:row>
      <xdr:rowOff>15240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5F18E89-BEAB-EC6C-B46C-6419CA96C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53340</xdr:colOff>
      <xdr:row>74</xdr:row>
      <xdr:rowOff>91440</xdr:rowOff>
    </xdr:from>
    <xdr:to>
      <xdr:col>8</xdr:col>
      <xdr:colOff>358140</xdr:colOff>
      <xdr:row>89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7C5F384A-295F-2712-830D-CA2CE46F6D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0</xdr:colOff>
      <xdr:row>74</xdr:row>
      <xdr:rowOff>0</xdr:rowOff>
    </xdr:from>
    <xdr:to>
      <xdr:col>18</xdr:col>
      <xdr:colOff>304800</xdr:colOff>
      <xdr:row>89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2D92FF2-F8FF-445D-A605-69FDE7743B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92</xdr:row>
      <xdr:rowOff>0</xdr:rowOff>
    </xdr:from>
    <xdr:to>
      <xdr:col>8</xdr:col>
      <xdr:colOff>304800</xdr:colOff>
      <xdr:row>107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0A4B6A88-E4C9-461B-B325-D2983C0CED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0</xdr:colOff>
      <xdr:row>92</xdr:row>
      <xdr:rowOff>0</xdr:rowOff>
    </xdr:from>
    <xdr:to>
      <xdr:col>18</xdr:col>
      <xdr:colOff>304800</xdr:colOff>
      <xdr:row>107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51904F2-9C6A-4614-87F7-3B9F07631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5"/>
  <sheetViews>
    <sheetView workbookViewId="0">
      <pane ySplit="2" topLeftCell="A3" activePane="bottomLeft" state="frozen"/>
      <selection pane="bottomLeft" activeCell="W12" sqref="W12"/>
    </sheetView>
  </sheetViews>
  <sheetFormatPr defaultRowHeight="14.25"/>
  <cols>
    <col min="1" max="1" width="4" bestFit="1" customWidth="1"/>
    <col min="2" max="2" width="9.125" bestFit="1" customWidth="1"/>
    <col min="3" max="4" width="7.5" bestFit="1" customWidth="1"/>
    <col min="5" max="5" width="7.5" customWidth="1"/>
    <col min="6" max="6" width="6.5" bestFit="1" customWidth="1"/>
    <col min="7" max="10" width="8.375" bestFit="1" customWidth="1"/>
    <col min="11" max="11" width="8.125" bestFit="1" customWidth="1"/>
    <col min="12" max="12" width="7.5" bestFit="1" customWidth="1"/>
    <col min="13" max="13" width="8" bestFit="1" customWidth="1"/>
    <col min="14" max="14" width="8.875" customWidth="1"/>
    <col min="15" max="15" width="9" bestFit="1" customWidth="1"/>
    <col min="16" max="18" width="11.75" bestFit="1" customWidth="1"/>
    <col min="19" max="19" width="11.75" customWidth="1"/>
    <col min="20" max="20" width="10.25" customWidth="1"/>
  </cols>
  <sheetData>
    <row r="1" spans="1:23" ht="15" thickBot="1">
      <c r="C1" t="s">
        <v>3</v>
      </c>
      <c r="D1" t="s">
        <v>1</v>
      </c>
      <c r="E1" t="s">
        <v>21</v>
      </c>
      <c r="F1" t="s">
        <v>2</v>
      </c>
      <c r="H1" t="s">
        <v>27</v>
      </c>
    </row>
    <row r="2" spans="1:23" s="1" customFormat="1" ht="60.75" thickBot="1">
      <c r="A2" s="6" t="s">
        <v>0</v>
      </c>
      <c r="B2" s="7" t="s">
        <v>23</v>
      </c>
      <c r="C2" s="7" t="s">
        <v>4</v>
      </c>
      <c r="D2" s="7" t="s">
        <v>5</v>
      </c>
      <c r="E2" s="7" t="s">
        <v>20</v>
      </c>
      <c r="F2" s="7" t="s">
        <v>6</v>
      </c>
      <c r="G2" s="7" t="s">
        <v>11</v>
      </c>
      <c r="H2" s="7" t="s">
        <v>10</v>
      </c>
      <c r="I2" s="7" t="s">
        <v>12</v>
      </c>
      <c r="J2" s="7" t="s">
        <v>13</v>
      </c>
      <c r="K2" s="7" t="s">
        <v>7</v>
      </c>
      <c r="L2" s="7" t="s">
        <v>8</v>
      </c>
      <c r="M2" s="8" t="s">
        <v>9</v>
      </c>
      <c r="N2" s="5" t="s">
        <v>17</v>
      </c>
      <c r="O2" s="5" t="s">
        <v>18</v>
      </c>
      <c r="P2" s="5" t="s">
        <v>14</v>
      </c>
      <c r="Q2" s="5" t="s">
        <v>15</v>
      </c>
      <c r="R2" s="5" t="s">
        <v>16</v>
      </c>
      <c r="S2" s="5" t="s">
        <v>19</v>
      </c>
      <c r="T2" s="5" t="s">
        <v>22</v>
      </c>
      <c r="U2" s="1" t="s">
        <v>24</v>
      </c>
      <c r="V2" s="1" t="s">
        <v>25</v>
      </c>
      <c r="W2" s="1" t="s">
        <v>26</v>
      </c>
    </row>
    <row r="3" spans="1:23">
      <c r="A3">
        <v>0</v>
      </c>
      <c r="B3" s="4">
        <f t="shared" ref="B3:B68" si="0">3300*(A3/4096)</f>
        <v>0</v>
      </c>
      <c r="C3" s="4">
        <v>2</v>
      </c>
      <c r="D3" s="4">
        <v>0</v>
      </c>
      <c r="E3" s="4">
        <v>0</v>
      </c>
      <c r="F3" s="2">
        <v>0</v>
      </c>
      <c r="G3" s="3">
        <v>5984</v>
      </c>
      <c r="H3" s="3">
        <v>9.9999999999999995E-8</v>
      </c>
      <c r="I3" s="3">
        <v>0</v>
      </c>
      <c r="J3" s="3">
        <v>0</v>
      </c>
      <c r="K3" s="3">
        <v>5975</v>
      </c>
      <c r="L3" s="3">
        <v>1</v>
      </c>
      <c r="M3" s="3">
        <v>6</v>
      </c>
      <c r="N3" s="9">
        <f t="shared" ref="N3:N66" si="1">(G3/H3)</f>
        <v>59840000000</v>
      </c>
      <c r="O3" s="9">
        <f t="shared" ref="O3:O66" si="2">(K3/L3)</f>
        <v>5975</v>
      </c>
      <c r="P3" s="3">
        <f t="shared" ref="P3:P34" si="3">(K3-G3)</f>
        <v>-9</v>
      </c>
      <c r="Q3" s="3">
        <f t="shared" ref="Q3:Q34" si="4">(L3-H3)</f>
        <v>0.99999990000000005</v>
      </c>
      <c r="R3" s="3">
        <f t="shared" ref="R3:R34" si="5">(M3-I3)</f>
        <v>6</v>
      </c>
      <c r="S3" s="9">
        <f t="shared" ref="S3:S66" si="6">(O3-N3)</f>
        <v>-59839994025</v>
      </c>
      <c r="T3" s="9">
        <f>(P3/H3)</f>
        <v>-90000000</v>
      </c>
      <c r="U3" s="9" t="e">
        <f>(C3/D3)</f>
        <v>#DIV/0!</v>
      </c>
      <c r="V3" s="4" t="e">
        <f>(D3-D2)</f>
        <v>#VALUE!</v>
      </c>
      <c r="W3" s="2" t="e">
        <f t="shared" ref="W3:W68" si="7">(F3-F2)</f>
        <v>#VALUE!</v>
      </c>
    </row>
    <row r="4" spans="1:23">
      <c r="A4">
        <v>1</v>
      </c>
      <c r="B4" s="4">
        <f t="shared" si="0"/>
        <v>0.8056640625</v>
      </c>
      <c r="C4" s="4">
        <v>2.7</v>
      </c>
      <c r="D4" s="4">
        <v>0</v>
      </c>
      <c r="E4" s="4">
        <v>0</v>
      </c>
      <c r="F4" s="2">
        <v>0</v>
      </c>
      <c r="G4" s="3">
        <v>5984</v>
      </c>
      <c r="H4" s="3">
        <v>9.9999999999999995E-8</v>
      </c>
      <c r="I4" s="3">
        <v>0</v>
      </c>
      <c r="J4" s="3">
        <v>0</v>
      </c>
      <c r="K4" s="3">
        <v>5975</v>
      </c>
      <c r="L4" s="3">
        <v>1</v>
      </c>
      <c r="M4" s="3">
        <v>6</v>
      </c>
      <c r="N4" s="9">
        <f t="shared" si="1"/>
        <v>59840000000</v>
      </c>
      <c r="O4" s="9">
        <f t="shared" si="2"/>
        <v>5975</v>
      </c>
      <c r="P4" s="3">
        <f t="shared" si="3"/>
        <v>-9</v>
      </c>
      <c r="Q4" s="3">
        <f t="shared" si="4"/>
        <v>0.99999990000000005</v>
      </c>
      <c r="R4" s="3">
        <f t="shared" si="5"/>
        <v>6</v>
      </c>
      <c r="S4" s="9">
        <f t="shared" si="6"/>
        <v>-59839994025</v>
      </c>
      <c r="T4" s="9">
        <f t="shared" ref="T4:T67" si="8">(P4/H4)</f>
        <v>-90000000</v>
      </c>
      <c r="U4" s="9" t="e">
        <f t="shared" ref="U4:U67" si="9">(C4/D4)</f>
        <v>#DIV/0!</v>
      </c>
      <c r="V4" s="4">
        <f>(D4-D3)</f>
        <v>0</v>
      </c>
      <c r="W4" s="2">
        <f t="shared" si="7"/>
        <v>0</v>
      </c>
    </row>
    <row r="5" spans="1:23">
      <c r="A5">
        <v>2</v>
      </c>
      <c r="B5" s="4">
        <f t="shared" si="0"/>
        <v>1.611328125</v>
      </c>
      <c r="C5" s="4">
        <v>3.5</v>
      </c>
      <c r="D5" s="4">
        <v>0</v>
      </c>
      <c r="E5" s="4">
        <v>0</v>
      </c>
      <c r="F5" s="2">
        <v>0</v>
      </c>
      <c r="G5" s="3">
        <v>5980</v>
      </c>
      <c r="H5" s="3">
        <v>9.9999999999999995E-8</v>
      </c>
      <c r="I5" s="3">
        <v>0</v>
      </c>
      <c r="J5" s="3">
        <v>0</v>
      </c>
      <c r="K5" s="3">
        <v>5975</v>
      </c>
      <c r="L5" s="3">
        <v>1</v>
      </c>
      <c r="M5" s="3">
        <v>6</v>
      </c>
      <c r="N5" s="9">
        <f t="shared" si="1"/>
        <v>59800000000</v>
      </c>
      <c r="O5" s="9">
        <f t="shared" si="2"/>
        <v>5975</v>
      </c>
      <c r="P5" s="3">
        <f t="shared" si="3"/>
        <v>-5</v>
      </c>
      <c r="Q5" s="3">
        <f t="shared" si="4"/>
        <v>0.99999990000000005</v>
      </c>
      <c r="R5" s="3">
        <f t="shared" si="5"/>
        <v>6</v>
      </c>
      <c r="S5" s="9">
        <f t="shared" si="6"/>
        <v>-59799994025</v>
      </c>
      <c r="T5" s="9">
        <f t="shared" si="8"/>
        <v>-50000000</v>
      </c>
      <c r="U5" s="9" t="e">
        <f t="shared" si="9"/>
        <v>#DIV/0!</v>
      </c>
      <c r="V5" s="4">
        <f t="shared" ref="V5:V68" si="10">(D5-D4)</f>
        <v>0</v>
      </c>
      <c r="W5" s="2">
        <f t="shared" si="7"/>
        <v>0</v>
      </c>
    </row>
    <row r="6" spans="1:23">
      <c r="A6">
        <v>3</v>
      </c>
      <c r="B6" s="4">
        <f t="shared" si="0"/>
        <v>2.4169921875</v>
      </c>
      <c r="C6" s="4">
        <v>4.2</v>
      </c>
      <c r="D6" s="4">
        <v>0</v>
      </c>
      <c r="E6" s="4">
        <v>0</v>
      </c>
      <c r="F6" s="2">
        <v>0</v>
      </c>
      <c r="G6" s="3">
        <v>5980</v>
      </c>
      <c r="H6" s="3">
        <v>9.9999999999999995E-8</v>
      </c>
      <c r="I6" s="3">
        <v>0</v>
      </c>
      <c r="J6" s="3">
        <v>0</v>
      </c>
      <c r="K6" s="3">
        <v>5975</v>
      </c>
      <c r="L6" s="3">
        <v>1</v>
      </c>
      <c r="M6" s="3">
        <v>6</v>
      </c>
      <c r="N6" s="9">
        <f t="shared" si="1"/>
        <v>59800000000</v>
      </c>
      <c r="O6" s="9">
        <f t="shared" si="2"/>
        <v>5975</v>
      </c>
      <c r="P6" s="3">
        <f t="shared" si="3"/>
        <v>-5</v>
      </c>
      <c r="Q6" s="3">
        <f t="shared" si="4"/>
        <v>0.99999990000000005</v>
      </c>
      <c r="R6" s="3">
        <f t="shared" si="5"/>
        <v>6</v>
      </c>
      <c r="S6" s="9">
        <f t="shared" si="6"/>
        <v>-59799994025</v>
      </c>
      <c r="T6" s="9">
        <f t="shared" si="8"/>
        <v>-50000000</v>
      </c>
      <c r="U6" s="9" t="e">
        <f t="shared" si="9"/>
        <v>#DIV/0!</v>
      </c>
      <c r="V6" s="4">
        <f t="shared" si="10"/>
        <v>0</v>
      </c>
      <c r="W6" s="2">
        <f t="shared" si="7"/>
        <v>0</v>
      </c>
    </row>
    <row r="7" spans="1:23">
      <c r="A7">
        <v>4</v>
      </c>
      <c r="B7" s="4">
        <f t="shared" si="0"/>
        <v>3.22265625</v>
      </c>
      <c r="C7" s="4">
        <v>5</v>
      </c>
      <c r="D7" s="4">
        <v>0</v>
      </c>
      <c r="E7" s="4">
        <v>0</v>
      </c>
      <c r="F7" s="2">
        <v>0</v>
      </c>
      <c r="G7" s="3">
        <v>5984</v>
      </c>
      <c r="H7" s="3">
        <v>9.9999999999999995E-8</v>
      </c>
      <c r="I7" s="3">
        <v>0</v>
      </c>
      <c r="J7" s="3">
        <v>0</v>
      </c>
      <c r="K7" s="3">
        <v>5975</v>
      </c>
      <c r="L7" s="3">
        <v>1</v>
      </c>
      <c r="M7" s="3">
        <v>6</v>
      </c>
      <c r="N7" s="9">
        <f t="shared" si="1"/>
        <v>59840000000</v>
      </c>
      <c r="O7" s="9">
        <f t="shared" si="2"/>
        <v>5975</v>
      </c>
      <c r="P7" s="3">
        <f t="shared" si="3"/>
        <v>-9</v>
      </c>
      <c r="Q7" s="3">
        <f t="shared" si="4"/>
        <v>0.99999990000000005</v>
      </c>
      <c r="R7" s="3">
        <f t="shared" si="5"/>
        <v>6</v>
      </c>
      <c r="S7" s="9">
        <f t="shared" si="6"/>
        <v>-59839994025</v>
      </c>
      <c r="T7" s="9">
        <f t="shared" si="8"/>
        <v>-90000000</v>
      </c>
      <c r="U7" s="9" t="e">
        <f t="shared" si="9"/>
        <v>#DIV/0!</v>
      </c>
      <c r="V7" s="4">
        <f t="shared" si="10"/>
        <v>0</v>
      </c>
      <c r="W7" s="2">
        <f t="shared" si="7"/>
        <v>0</v>
      </c>
    </row>
    <row r="8" spans="1:23">
      <c r="A8">
        <v>5</v>
      </c>
      <c r="B8" s="4">
        <f t="shared" si="0"/>
        <v>4.0283203125</v>
      </c>
      <c r="C8" s="4">
        <v>5.8</v>
      </c>
      <c r="D8" s="4">
        <v>0</v>
      </c>
      <c r="E8" s="4">
        <v>0</v>
      </c>
      <c r="F8" s="2">
        <v>0</v>
      </c>
      <c r="G8" s="3">
        <v>5984</v>
      </c>
      <c r="H8" s="3">
        <v>9.9999999999999995E-8</v>
      </c>
      <c r="I8" s="3">
        <v>0</v>
      </c>
      <c r="J8" s="3">
        <v>0</v>
      </c>
      <c r="K8" s="3">
        <v>5975</v>
      </c>
      <c r="L8" s="3">
        <v>1</v>
      </c>
      <c r="M8" s="3">
        <v>6</v>
      </c>
      <c r="N8" s="9">
        <f t="shared" si="1"/>
        <v>59840000000</v>
      </c>
      <c r="O8" s="9">
        <f t="shared" si="2"/>
        <v>5975</v>
      </c>
      <c r="P8" s="3">
        <f t="shared" si="3"/>
        <v>-9</v>
      </c>
      <c r="Q8" s="3">
        <f t="shared" si="4"/>
        <v>0.99999990000000005</v>
      </c>
      <c r="R8" s="3">
        <f t="shared" si="5"/>
        <v>6</v>
      </c>
      <c r="S8" s="9">
        <f t="shared" si="6"/>
        <v>-59839994025</v>
      </c>
      <c r="T8" s="9">
        <f t="shared" si="8"/>
        <v>-90000000</v>
      </c>
      <c r="U8" s="9" t="e">
        <f t="shared" si="9"/>
        <v>#DIV/0!</v>
      </c>
      <c r="V8" s="4">
        <f t="shared" si="10"/>
        <v>0</v>
      </c>
      <c r="W8" s="2">
        <f t="shared" si="7"/>
        <v>0</v>
      </c>
    </row>
    <row r="9" spans="1:23">
      <c r="A9">
        <v>6</v>
      </c>
      <c r="B9" s="4">
        <f t="shared" si="0"/>
        <v>4.833984375</v>
      </c>
      <c r="C9" s="4">
        <v>6.6</v>
      </c>
      <c r="D9" s="4">
        <v>0</v>
      </c>
      <c r="E9" s="4">
        <v>0</v>
      </c>
      <c r="F9" s="2">
        <v>0</v>
      </c>
      <c r="G9" s="3">
        <v>5980</v>
      </c>
      <c r="H9" s="3">
        <v>9.9999999999999995E-8</v>
      </c>
      <c r="I9" s="3">
        <v>0</v>
      </c>
      <c r="J9" s="3">
        <v>0</v>
      </c>
      <c r="K9" s="3">
        <v>5975</v>
      </c>
      <c r="L9" s="3">
        <v>1</v>
      </c>
      <c r="M9" s="3">
        <v>6</v>
      </c>
      <c r="N9" s="9">
        <f t="shared" si="1"/>
        <v>59800000000</v>
      </c>
      <c r="O9" s="9">
        <f t="shared" si="2"/>
        <v>5975</v>
      </c>
      <c r="P9" s="3">
        <f t="shared" si="3"/>
        <v>-5</v>
      </c>
      <c r="Q9" s="3">
        <f t="shared" si="4"/>
        <v>0.99999990000000005</v>
      </c>
      <c r="R9" s="3">
        <f t="shared" si="5"/>
        <v>6</v>
      </c>
      <c r="S9" s="9">
        <f t="shared" si="6"/>
        <v>-59799994025</v>
      </c>
      <c r="T9" s="9">
        <f t="shared" si="8"/>
        <v>-50000000</v>
      </c>
      <c r="U9" s="9" t="e">
        <f t="shared" si="9"/>
        <v>#DIV/0!</v>
      </c>
      <c r="V9" s="4">
        <f t="shared" si="10"/>
        <v>0</v>
      </c>
      <c r="W9" s="2">
        <f t="shared" si="7"/>
        <v>0</v>
      </c>
    </row>
    <row r="10" spans="1:23">
      <c r="A10">
        <v>7</v>
      </c>
      <c r="B10" s="4">
        <f t="shared" si="0"/>
        <v>5.6396484375</v>
      </c>
      <c r="C10" s="4">
        <v>7.4</v>
      </c>
      <c r="D10" s="4">
        <v>0</v>
      </c>
      <c r="E10" s="4">
        <v>0</v>
      </c>
      <c r="F10" s="2">
        <v>0</v>
      </c>
      <c r="G10" s="3">
        <v>5984</v>
      </c>
      <c r="H10" s="3">
        <v>9.9999999999999995E-8</v>
      </c>
      <c r="I10" s="3">
        <v>0</v>
      </c>
      <c r="J10" s="3">
        <v>0</v>
      </c>
      <c r="K10" s="3">
        <v>5975</v>
      </c>
      <c r="L10" s="3">
        <v>1</v>
      </c>
      <c r="M10" s="3">
        <v>6</v>
      </c>
      <c r="N10" s="9">
        <f t="shared" si="1"/>
        <v>59840000000</v>
      </c>
      <c r="O10" s="9">
        <f t="shared" si="2"/>
        <v>5975</v>
      </c>
      <c r="P10" s="3">
        <f t="shared" si="3"/>
        <v>-9</v>
      </c>
      <c r="Q10" s="3">
        <f t="shared" si="4"/>
        <v>0.99999990000000005</v>
      </c>
      <c r="R10" s="3">
        <f t="shared" si="5"/>
        <v>6</v>
      </c>
      <c r="S10" s="9">
        <f t="shared" si="6"/>
        <v>-59839994025</v>
      </c>
      <c r="T10" s="9">
        <f t="shared" si="8"/>
        <v>-90000000</v>
      </c>
      <c r="U10" s="9" t="e">
        <f t="shared" si="9"/>
        <v>#DIV/0!</v>
      </c>
      <c r="V10" s="4">
        <f t="shared" si="10"/>
        <v>0</v>
      </c>
      <c r="W10" s="2">
        <f t="shared" si="7"/>
        <v>0</v>
      </c>
    </row>
    <row r="11" spans="1:23">
      <c r="A11">
        <v>8</v>
      </c>
      <c r="B11" s="4">
        <f t="shared" si="0"/>
        <v>6.4453125</v>
      </c>
      <c r="C11" s="4">
        <v>8.1999999999999993</v>
      </c>
      <c r="D11" s="4">
        <v>0</v>
      </c>
      <c r="E11" s="4">
        <v>0</v>
      </c>
      <c r="F11" s="2">
        <v>0</v>
      </c>
      <c r="G11" s="3">
        <v>5980</v>
      </c>
      <c r="H11" s="3">
        <v>9.9999999999999995E-8</v>
      </c>
      <c r="I11" s="3">
        <v>0</v>
      </c>
      <c r="J11" s="3">
        <v>0</v>
      </c>
      <c r="K11" s="3">
        <v>5975</v>
      </c>
      <c r="L11" s="3">
        <v>1</v>
      </c>
      <c r="M11" s="3">
        <v>6</v>
      </c>
      <c r="N11" s="9">
        <f t="shared" si="1"/>
        <v>59800000000</v>
      </c>
      <c r="O11" s="9">
        <f t="shared" si="2"/>
        <v>5975</v>
      </c>
      <c r="P11" s="3">
        <f t="shared" si="3"/>
        <v>-5</v>
      </c>
      <c r="Q11" s="3">
        <f t="shared" si="4"/>
        <v>0.99999990000000005</v>
      </c>
      <c r="R11" s="3">
        <f t="shared" si="5"/>
        <v>6</v>
      </c>
      <c r="S11" s="9">
        <f t="shared" si="6"/>
        <v>-59799994025</v>
      </c>
      <c r="T11" s="9">
        <f t="shared" si="8"/>
        <v>-50000000</v>
      </c>
      <c r="U11" s="9" t="e">
        <f t="shared" si="9"/>
        <v>#DIV/0!</v>
      </c>
      <c r="V11" s="4">
        <f t="shared" si="10"/>
        <v>0</v>
      </c>
      <c r="W11" s="2">
        <f t="shared" si="7"/>
        <v>0</v>
      </c>
    </row>
    <row r="12" spans="1:23">
      <c r="A12">
        <v>9</v>
      </c>
      <c r="B12" s="4">
        <f t="shared" si="0"/>
        <v>7.2509765625</v>
      </c>
      <c r="C12" s="4">
        <v>9</v>
      </c>
      <c r="D12" s="4">
        <v>0</v>
      </c>
      <c r="E12" s="4">
        <v>0</v>
      </c>
      <c r="F12" s="2">
        <v>0</v>
      </c>
      <c r="G12" s="3">
        <v>5984</v>
      </c>
      <c r="H12" s="3">
        <v>9.9999999999999995E-8</v>
      </c>
      <c r="I12" s="3">
        <v>0</v>
      </c>
      <c r="J12" s="3">
        <v>0</v>
      </c>
      <c r="K12" s="3">
        <v>5975</v>
      </c>
      <c r="L12" s="3">
        <v>1</v>
      </c>
      <c r="M12" s="3">
        <v>6</v>
      </c>
      <c r="N12" s="9">
        <f t="shared" si="1"/>
        <v>59840000000</v>
      </c>
      <c r="O12" s="9">
        <f t="shared" si="2"/>
        <v>5975</v>
      </c>
      <c r="P12" s="3">
        <f t="shared" si="3"/>
        <v>-9</v>
      </c>
      <c r="Q12" s="3">
        <f t="shared" si="4"/>
        <v>0.99999990000000005</v>
      </c>
      <c r="R12" s="3">
        <f t="shared" si="5"/>
        <v>6</v>
      </c>
      <c r="S12" s="9">
        <f t="shared" si="6"/>
        <v>-59839994025</v>
      </c>
      <c r="T12" s="9">
        <f t="shared" si="8"/>
        <v>-90000000</v>
      </c>
      <c r="U12" s="9" t="e">
        <f t="shared" si="9"/>
        <v>#DIV/0!</v>
      </c>
      <c r="V12" s="4">
        <f t="shared" si="10"/>
        <v>0</v>
      </c>
      <c r="W12" s="2">
        <f t="shared" si="7"/>
        <v>0</v>
      </c>
    </row>
    <row r="13" spans="1:23">
      <c r="A13">
        <v>10</v>
      </c>
      <c r="B13" s="4">
        <f t="shared" si="0"/>
        <v>8.056640625</v>
      </c>
      <c r="C13" s="4">
        <v>9.6999999999999993</v>
      </c>
      <c r="D13" s="4">
        <v>0</v>
      </c>
      <c r="E13" s="4">
        <v>0</v>
      </c>
      <c r="F13" s="2">
        <v>0</v>
      </c>
      <c r="G13" s="3">
        <v>5980</v>
      </c>
      <c r="H13" s="3">
        <v>9.9999999999999995E-8</v>
      </c>
      <c r="I13" s="3">
        <v>0</v>
      </c>
      <c r="J13" s="3">
        <v>0</v>
      </c>
      <c r="K13" s="3">
        <v>5975</v>
      </c>
      <c r="L13" s="3">
        <v>1</v>
      </c>
      <c r="M13" s="3">
        <v>6</v>
      </c>
      <c r="N13" s="9">
        <f t="shared" si="1"/>
        <v>59800000000</v>
      </c>
      <c r="O13" s="9">
        <f t="shared" si="2"/>
        <v>5975</v>
      </c>
      <c r="P13" s="3">
        <f t="shared" si="3"/>
        <v>-5</v>
      </c>
      <c r="Q13" s="3">
        <f t="shared" si="4"/>
        <v>0.99999990000000005</v>
      </c>
      <c r="R13" s="3">
        <f t="shared" si="5"/>
        <v>6</v>
      </c>
      <c r="S13" s="9">
        <f t="shared" si="6"/>
        <v>-59799994025</v>
      </c>
      <c r="T13" s="9">
        <f t="shared" si="8"/>
        <v>-50000000</v>
      </c>
      <c r="U13" s="9" t="e">
        <f t="shared" si="9"/>
        <v>#DIV/0!</v>
      </c>
      <c r="V13" s="4">
        <f t="shared" si="10"/>
        <v>0</v>
      </c>
      <c r="W13" s="2">
        <f t="shared" si="7"/>
        <v>0</v>
      </c>
    </row>
    <row r="14" spans="1:23">
      <c r="A14">
        <v>11</v>
      </c>
      <c r="B14" s="4">
        <f t="shared" si="0"/>
        <v>8.8623046875</v>
      </c>
      <c r="C14" s="4">
        <v>10.5</v>
      </c>
      <c r="D14" s="4">
        <v>0</v>
      </c>
      <c r="E14" s="4">
        <v>0</v>
      </c>
      <c r="F14" s="2">
        <v>0</v>
      </c>
      <c r="G14" s="3">
        <v>5980</v>
      </c>
      <c r="H14" s="3">
        <v>9.9999999999999995E-8</v>
      </c>
      <c r="I14" s="3">
        <v>0</v>
      </c>
      <c r="J14" s="3">
        <v>0</v>
      </c>
      <c r="K14" s="3">
        <v>5975</v>
      </c>
      <c r="L14" s="3">
        <v>1</v>
      </c>
      <c r="M14" s="3">
        <v>6</v>
      </c>
      <c r="N14" s="9">
        <f t="shared" si="1"/>
        <v>59800000000</v>
      </c>
      <c r="O14" s="9">
        <f t="shared" si="2"/>
        <v>5975</v>
      </c>
      <c r="P14" s="3">
        <f t="shared" si="3"/>
        <v>-5</v>
      </c>
      <c r="Q14" s="3">
        <f t="shared" si="4"/>
        <v>0.99999990000000005</v>
      </c>
      <c r="R14" s="3">
        <f t="shared" si="5"/>
        <v>6</v>
      </c>
      <c r="S14" s="9">
        <f t="shared" si="6"/>
        <v>-59799994025</v>
      </c>
      <c r="T14" s="9">
        <f t="shared" si="8"/>
        <v>-50000000</v>
      </c>
      <c r="U14" s="9" t="e">
        <f t="shared" si="9"/>
        <v>#DIV/0!</v>
      </c>
      <c r="V14" s="4">
        <f t="shared" si="10"/>
        <v>0</v>
      </c>
      <c r="W14" s="2">
        <f t="shared" si="7"/>
        <v>0</v>
      </c>
    </row>
    <row r="15" spans="1:23">
      <c r="A15">
        <v>12</v>
      </c>
      <c r="B15" s="4">
        <f t="shared" si="0"/>
        <v>9.66796875</v>
      </c>
      <c r="C15" s="4">
        <v>11.4</v>
      </c>
      <c r="D15" s="4">
        <v>0</v>
      </c>
      <c r="E15" s="4">
        <v>0</v>
      </c>
      <c r="F15" s="2">
        <v>0</v>
      </c>
      <c r="G15" s="3">
        <v>5984</v>
      </c>
      <c r="H15" s="3">
        <v>9.9999999999999995E-8</v>
      </c>
      <c r="I15" s="3">
        <v>0</v>
      </c>
      <c r="J15" s="3">
        <v>0</v>
      </c>
      <c r="K15" s="3">
        <v>5975</v>
      </c>
      <c r="L15" s="3">
        <v>1</v>
      </c>
      <c r="M15" s="3">
        <v>6</v>
      </c>
      <c r="N15" s="9">
        <f t="shared" si="1"/>
        <v>59840000000</v>
      </c>
      <c r="O15" s="9">
        <f t="shared" si="2"/>
        <v>5975</v>
      </c>
      <c r="P15" s="3">
        <f t="shared" si="3"/>
        <v>-9</v>
      </c>
      <c r="Q15" s="3">
        <f t="shared" si="4"/>
        <v>0.99999990000000005</v>
      </c>
      <c r="R15" s="3">
        <f t="shared" si="5"/>
        <v>6</v>
      </c>
      <c r="S15" s="9">
        <f t="shared" si="6"/>
        <v>-59839994025</v>
      </c>
      <c r="T15" s="9">
        <f t="shared" si="8"/>
        <v>-90000000</v>
      </c>
      <c r="U15" s="9" t="e">
        <f t="shared" si="9"/>
        <v>#DIV/0!</v>
      </c>
      <c r="V15" s="4">
        <f t="shared" si="10"/>
        <v>0</v>
      </c>
      <c r="W15" s="2">
        <f t="shared" si="7"/>
        <v>0</v>
      </c>
    </row>
    <row r="16" spans="1:23">
      <c r="A16">
        <v>13</v>
      </c>
      <c r="B16" s="4">
        <f t="shared" si="0"/>
        <v>10.4736328125</v>
      </c>
      <c r="C16" s="4">
        <v>12.1</v>
      </c>
      <c r="D16" s="4">
        <v>0</v>
      </c>
      <c r="E16" s="4">
        <v>0</v>
      </c>
      <c r="F16" s="2">
        <v>0</v>
      </c>
      <c r="G16" s="3">
        <v>5984</v>
      </c>
      <c r="H16" s="3">
        <v>9.9999999999999995E-8</v>
      </c>
      <c r="I16" s="3">
        <v>0</v>
      </c>
      <c r="J16" s="3">
        <v>0</v>
      </c>
      <c r="K16" s="3">
        <v>5975</v>
      </c>
      <c r="L16" s="3">
        <v>1</v>
      </c>
      <c r="M16" s="3">
        <v>6</v>
      </c>
      <c r="N16" s="9">
        <f t="shared" si="1"/>
        <v>59840000000</v>
      </c>
      <c r="O16" s="9">
        <f t="shared" si="2"/>
        <v>5975</v>
      </c>
      <c r="P16" s="3">
        <f t="shared" si="3"/>
        <v>-9</v>
      </c>
      <c r="Q16" s="3">
        <f t="shared" si="4"/>
        <v>0.99999990000000005</v>
      </c>
      <c r="R16" s="3">
        <f t="shared" si="5"/>
        <v>6</v>
      </c>
      <c r="S16" s="9">
        <f t="shared" si="6"/>
        <v>-59839994025</v>
      </c>
      <c r="T16" s="9">
        <f t="shared" si="8"/>
        <v>-90000000</v>
      </c>
      <c r="U16" s="9" t="e">
        <f t="shared" si="9"/>
        <v>#DIV/0!</v>
      </c>
      <c r="V16" s="4">
        <f t="shared" si="10"/>
        <v>0</v>
      </c>
      <c r="W16" s="2">
        <f t="shared" si="7"/>
        <v>0</v>
      </c>
    </row>
    <row r="17" spans="1:23">
      <c r="A17">
        <v>14</v>
      </c>
      <c r="B17" s="4">
        <f t="shared" si="0"/>
        <v>11.279296875</v>
      </c>
      <c r="C17" s="4">
        <v>12.9</v>
      </c>
      <c r="D17" s="4">
        <v>0</v>
      </c>
      <c r="E17" s="4">
        <v>0</v>
      </c>
      <c r="F17" s="2">
        <v>0</v>
      </c>
      <c r="G17" s="3">
        <v>5984</v>
      </c>
      <c r="H17" s="3">
        <v>9.9999999999999995E-8</v>
      </c>
      <c r="I17" s="3">
        <v>0</v>
      </c>
      <c r="J17" s="3">
        <v>0</v>
      </c>
      <c r="K17" s="3">
        <v>5975</v>
      </c>
      <c r="L17" s="3">
        <v>1</v>
      </c>
      <c r="M17" s="3">
        <v>6</v>
      </c>
      <c r="N17" s="9">
        <f t="shared" si="1"/>
        <v>59840000000</v>
      </c>
      <c r="O17" s="9">
        <f t="shared" si="2"/>
        <v>5975</v>
      </c>
      <c r="P17" s="3">
        <f t="shared" si="3"/>
        <v>-9</v>
      </c>
      <c r="Q17" s="3">
        <f t="shared" si="4"/>
        <v>0.99999990000000005</v>
      </c>
      <c r="R17" s="3">
        <f t="shared" si="5"/>
        <v>6</v>
      </c>
      <c r="S17" s="9">
        <f t="shared" si="6"/>
        <v>-59839994025</v>
      </c>
      <c r="T17" s="9">
        <f t="shared" si="8"/>
        <v>-90000000</v>
      </c>
      <c r="U17" s="9" t="e">
        <f t="shared" si="9"/>
        <v>#DIV/0!</v>
      </c>
      <c r="V17" s="4">
        <f t="shared" si="10"/>
        <v>0</v>
      </c>
      <c r="W17" s="2">
        <f t="shared" si="7"/>
        <v>0</v>
      </c>
    </row>
    <row r="18" spans="1:23">
      <c r="A18">
        <v>15</v>
      </c>
      <c r="B18" s="4">
        <f t="shared" si="0"/>
        <v>12.0849609375</v>
      </c>
      <c r="C18" s="4">
        <v>13.7</v>
      </c>
      <c r="D18" s="4">
        <v>0</v>
      </c>
      <c r="E18" s="4">
        <v>0</v>
      </c>
      <c r="F18" s="2">
        <v>0</v>
      </c>
      <c r="G18" s="3">
        <v>5980</v>
      </c>
      <c r="H18" s="3">
        <v>9.9999999999999995E-8</v>
      </c>
      <c r="I18" s="3">
        <v>0</v>
      </c>
      <c r="J18" s="3">
        <v>0</v>
      </c>
      <c r="K18" s="3">
        <v>5975</v>
      </c>
      <c r="L18" s="3">
        <v>1</v>
      </c>
      <c r="M18" s="3">
        <v>6</v>
      </c>
      <c r="N18" s="9">
        <f t="shared" si="1"/>
        <v>59800000000</v>
      </c>
      <c r="O18" s="9">
        <f t="shared" si="2"/>
        <v>5975</v>
      </c>
      <c r="P18" s="3">
        <f t="shared" si="3"/>
        <v>-5</v>
      </c>
      <c r="Q18" s="3">
        <f t="shared" si="4"/>
        <v>0.99999990000000005</v>
      </c>
      <c r="R18" s="3">
        <f t="shared" si="5"/>
        <v>6</v>
      </c>
      <c r="S18" s="9">
        <f t="shared" si="6"/>
        <v>-59799994025</v>
      </c>
      <c r="T18" s="9">
        <f t="shared" si="8"/>
        <v>-50000000</v>
      </c>
      <c r="U18" s="9" t="e">
        <f t="shared" si="9"/>
        <v>#DIV/0!</v>
      </c>
      <c r="V18" s="4">
        <f t="shared" si="10"/>
        <v>0</v>
      </c>
      <c r="W18" s="2">
        <f t="shared" si="7"/>
        <v>0</v>
      </c>
    </row>
    <row r="19" spans="1:23">
      <c r="A19">
        <v>16</v>
      </c>
      <c r="B19" s="4">
        <f t="shared" si="0"/>
        <v>12.890625</v>
      </c>
      <c r="C19" s="4">
        <v>14.6</v>
      </c>
      <c r="D19" s="4">
        <v>0</v>
      </c>
      <c r="E19" s="4">
        <v>0</v>
      </c>
      <c r="F19" s="2">
        <v>0</v>
      </c>
      <c r="G19" s="3">
        <v>5980</v>
      </c>
      <c r="H19" s="3">
        <v>9.9999999999999995E-8</v>
      </c>
      <c r="I19" s="3">
        <v>0</v>
      </c>
      <c r="J19" s="3">
        <v>0</v>
      </c>
      <c r="K19" s="3">
        <v>5975</v>
      </c>
      <c r="L19" s="3">
        <v>1</v>
      </c>
      <c r="M19" s="3">
        <v>6</v>
      </c>
      <c r="N19" s="9">
        <f t="shared" si="1"/>
        <v>59800000000</v>
      </c>
      <c r="O19" s="9">
        <f t="shared" si="2"/>
        <v>5975</v>
      </c>
      <c r="P19" s="3">
        <f t="shared" si="3"/>
        <v>-5</v>
      </c>
      <c r="Q19" s="3">
        <f t="shared" si="4"/>
        <v>0.99999990000000005</v>
      </c>
      <c r="R19" s="3">
        <f t="shared" si="5"/>
        <v>6</v>
      </c>
      <c r="S19" s="9">
        <f t="shared" si="6"/>
        <v>-59799994025</v>
      </c>
      <c r="T19" s="9">
        <f t="shared" si="8"/>
        <v>-50000000</v>
      </c>
      <c r="U19" s="9" t="e">
        <f t="shared" si="9"/>
        <v>#DIV/0!</v>
      </c>
      <c r="V19" s="4">
        <f t="shared" si="10"/>
        <v>0</v>
      </c>
      <c r="W19" s="2">
        <f t="shared" si="7"/>
        <v>0</v>
      </c>
    </row>
    <row r="20" spans="1:23">
      <c r="A20">
        <v>17</v>
      </c>
      <c r="B20" s="4">
        <f t="shared" si="0"/>
        <v>13.6962890625</v>
      </c>
      <c r="C20" s="4">
        <v>15.3</v>
      </c>
      <c r="D20" s="4">
        <v>0</v>
      </c>
      <c r="E20" s="4">
        <v>0</v>
      </c>
      <c r="F20" s="2">
        <v>0</v>
      </c>
      <c r="G20" s="3">
        <v>5980</v>
      </c>
      <c r="H20" s="3">
        <v>9.9999999999999995E-8</v>
      </c>
      <c r="I20" s="3">
        <v>0</v>
      </c>
      <c r="J20" s="3">
        <v>0</v>
      </c>
      <c r="K20" s="3">
        <v>5975</v>
      </c>
      <c r="L20" s="3">
        <v>1</v>
      </c>
      <c r="M20" s="3">
        <v>6</v>
      </c>
      <c r="N20" s="9">
        <f t="shared" si="1"/>
        <v>59800000000</v>
      </c>
      <c r="O20" s="9">
        <f t="shared" si="2"/>
        <v>5975</v>
      </c>
      <c r="P20" s="3">
        <f t="shared" si="3"/>
        <v>-5</v>
      </c>
      <c r="Q20" s="3">
        <f t="shared" si="4"/>
        <v>0.99999990000000005</v>
      </c>
      <c r="R20" s="3">
        <f t="shared" si="5"/>
        <v>6</v>
      </c>
      <c r="S20" s="9">
        <f t="shared" si="6"/>
        <v>-59799994025</v>
      </c>
      <c r="T20" s="9">
        <f t="shared" si="8"/>
        <v>-50000000</v>
      </c>
      <c r="U20" s="9" t="e">
        <f t="shared" si="9"/>
        <v>#DIV/0!</v>
      </c>
      <c r="V20" s="4">
        <f t="shared" si="10"/>
        <v>0</v>
      </c>
      <c r="W20" s="2">
        <f t="shared" si="7"/>
        <v>0</v>
      </c>
    </row>
    <row r="21" spans="1:23">
      <c r="A21">
        <v>18</v>
      </c>
      <c r="B21" s="4">
        <f t="shared" si="0"/>
        <v>14.501953125</v>
      </c>
      <c r="C21" s="4">
        <v>16.2</v>
      </c>
      <c r="D21" s="4">
        <v>0</v>
      </c>
      <c r="E21" s="4">
        <v>0</v>
      </c>
      <c r="F21" s="2">
        <v>0</v>
      </c>
      <c r="G21" s="3">
        <v>5984</v>
      </c>
      <c r="H21" s="3">
        <v>9.9999999999999995E-8</v>
      </c>
      <c r="I21" s="3">
        <v>0</v>
      </c>
      <c r="J21" s="3">
        <v>0</v>
      </c>
      <c r="K21" s="3">
        <v>5975</v>
      </c>
      <c r="L21" s="3">
        <v>1</v>
      </c>
      <c r="M21" s="3">
        <v>6</v>
      </c>
      <c r="N21" s="9">
        <f t="shared" si="1"/>
        <v>59840000000</v>
      </c>
      <c r="O21" s="9">
        <f t="shared" si="2"/>
        <v>5975</v>
      </c>
      <c r="P21" s="3">
        <f t="shared" si="3"/>
        <v>-9</v>
      </c>
      <c r="Q21" s="3">
        <f t="shared" si="4"/>
        <v>0.99999990000000005</v>
      </c>
      <c r="R21" s="3">
        <f t="shared" si="5"/>
        <v>6</v>
      </c>
      <c r="S21" s="9">
        <f t="shared" si="6"/>
        <v>-59839994025</v>
      </c>
      <c r="T21" s="9">
        <f t="shared" si="8"/>
        <v>-90000000</v>
      </c>
      <c r="U21" s="9" t="e">
        <f t="shared" si="9"/>
        <v>#DIV/0!</v>
      </c>
      <c r="V21" s="4">
        <f t="shared" si="10"/>
        <v>0</v>
      </c>
      <c r="W21" s="2">
        <f t="shared" si="7"/>
        <v>0</v>
      </c>
    </row>
    <row r="22" spans="1:23">
      <c r="A22">
        <v>19</v>
      </c>
      <c r="B22" s="4">
        <f t="shared" si="0"/>
        <v>15.3076171875</v>
      </c>
      <c r="C22" s="4">
        <v>17</v>
      </c>
      <c r="D22" s="4">
        <v>0</v>
      </c>
      <c r="E22" s="4">
        <v>0</v>
      </c>
      <c r="F22" s="2">
        <v>0</v>
      </c>
      <c r="G22" s="3">
        <v>5980</v>
      </c>
      <c r="H22" s="3">
        <v>9.9999999999999995E-8</v>
      </c>
      <c r="I22" s="3">
        <v>0</v>
      </c>
      <c r="J22" s="3">
        <v>0</v>
      </c>
      <c r="K22" s="3">
        <v>5975</v>
      </c>
      <c r="L22" s="3">
        <v>1</v>
      </c>
      <c r="M22" s="3">
        <v>6</v>
      </c>
      <c r="N22" s="9">
        <f t="shared" si="1"/>
        <v>59800000000</v>
      </c>
      <c r="O22" s="9">
        <f t="shared" si="2"/>
        <v>5975</v>
      </c>
      <c r="P22" s="3">
        <f t="shared" si="3"/>
        <v>-5</v>
      </c>
      <c r="Q22" s="3">
        <f t="shared" si="4"/>
        <v>0.99999990000000005</v>
      </c>
      <c r="R22" s="3">
        <f t="shared" si="5"/>
        <v>6</v>
      </c>
      <c r="S22" s="9">
        <f t="shared" si="6"/>
        <v>-59799994025</v>
      </c>
      <c r="T22" s="9">
        <f t="shared" si="8"/>
        <v>-50000000</v>
      </c>
      <c r="U22" s="9" t="e">
        <f t="shared" si="9"/>
        <v>#DIV/0!</v>
      </c>
      <c r="V22" s="4">
        <f t="shared" si="10"/>
        <v>0</v>
      </c>
      <c r="W22" s="2">
        <f t="shared" si="7"/>
        <v>0</v>
      </c>
    </row>
    <row r="23" spans="1:23">
      <c r="A23">
        <v>20</v>
      </c>
      <c r="B23" s="4">
        <f t="shared" si="0"/>
        <v>16.11328125</v>
      </c>
      <c r="C23" s="4">
        <v>17.8</v>
      </c>
      <c r="D23" s="4">
        <v>0.1</v>
      </c>
      <c r="E23" s="4">
        <v>0</v>
      </c>
      <c r="F23" s="2">
        <v>0</v>
      </c>
      <c r="G23" s="3">
        <v>5980</v>
      </c>
      <c r="H23" s="3">
        <v>9.9999999999999995E-8</v>
      </c>
      <c r="I23" s="3">
        <v>0</v>
      </c>
      <c r="J23" s="3">
        <v>0</v>
      </c>
      <c r="K23" s="3">
        <v>5975</v>
      </c>
      <c r="L23" s="3">
        <v>1</v>
      </c>
      <c r="M23" s="3">
        <v>6</v>
      </c>
      <c r="N23" s="9">
        <f t="shared" si="1"/>
        <v>59800000000</v>
      </c>
      <c r="O23" s="9">
        <f t="shared" si="2"/>
        <v>5975</v>
      </c>
      <c r="P23" s="3">
        <f t="shared" si="3"/>
        <v>-5</v>
      </c>
      <c r="Q23" s="3">
        <f t="shared" si="4"/>
        <v>0.99999990000000005</v>
      </c>
      <c r="R23" s="3">
        <f t="shared" si="5"/>
        <v>6</v>
      </c>
      <c r="S23" s="9">
        <f t="shared" si="6"/>
        <v>-59799994025</v>
      </c>
      <c r="T23" s="9">
        <f t="shared" si="8"/>
        <v>-50000000</v>
      </c>
      <c r="U23" s="9">
        <f t="shared" si="9"/>
        <v>178</v>
      </c>
      <c r="V23" s="4">
        <f t="shared" si="10"/>
        <v>0.1</v>
      </c>
      <c r="W23" s="2">
        <f t="shared" si="7"/>
        <v>0</v>
      </c>
    </row>
    <row r="24" spans="1:23">
      <c r="A24">
        <v>21</v>
      </c>
      <c r="B24" s="4">
        <f t="shared" si="0"/>
        <v>16.9189453125</v>
      </c>
      <c r="C24" s="4">
        <v>18.600000000000001</v>
      </c>
      <c r="D24" s="4">
        <v>0.1</v>
      </c>
      <c r="E24" s="4">
        <v>0</v>
      </c>
      <c r="F24" s="2">
        <v>0</v>
      </c>
      <c r="G24" s="3">
        <v>5984</v>
      </c>
      <c r="H24" s="3">
        <v>9.9999999999999995E-8</v>
      </c>
      <c r="I24" s="3">
        <v>0</v>
      </c>
      <c r="J24" s="3">
        <v>0</v>
      </c>
      <c r="K24" s="3">
        <v>5975</v>
      </c>
      <c r="L24" s="3">
        <v>1</v>
      </c>
      <c r="M24" s="3">
        <v>6</v>
      </c>
      <c r="N24" s="9">
        <f t="shared" si="1"/>
        <v>59840000000</v>
      </c>
      <c r="O24" s="9">
        <f t="shared" si="2"/>
        <v>5975</v>
      </c>
      <c r="P24" s="3">
        <f t="shared" si="3"/>
        <v>-9</v>
      </c>
      <c r="Q24" s="3">
        <f t="shared" si="4"/>
        <v>0.99999990000000005</v>
      </c>
      <c r="R24" s="3">
        <f t="shared" si="5"/>
        <v>6</v>
      </c>
      <c r="S24" s="9">
        <f t="shared" si="6"/>
        <v>-59839994025</v>
      </c>
      <c r="T24" s="9">
        <f t="shared" si="8"/>
        <v>-90000000</v>
      </c>
      <c r="U24" s="9">
        <f t="shared" si="9"/>
        <v>186</v>
      </c>
      <c r="V24" s="4">
        <f t="shared" si="10"/>
        <v>0</v>
      </c>
      <c r="W24" s="2">
        <f t="shared" si="7"/>
        <v>0</v>
      </c>
    </row>
    <row r="25" spans="1:23">
      <c r="A25">
        <v>22</v>
      </c>
      <c r="B25" s="4">
        <f t="shared" si="0"/>
        <v>17.724609375</v>
      </c>
      <c r="C25" s="4">
        <v>19.399999999999999</v>
      </c>
      <c r="D25" s="4">
        <v>0</v>
      </c>
      <c r="E25" s="4">
        <v>0</v>
      </c>
      <c r="F25" s="2">
        <v>0</v>
      </c>
      <c r="G25" s="3">
        <v>5984</v>
      </c>
      <c r="H25" s="3">
        <v>9.9999999999999995E-8</v>
      </c>
      <c r="I25" s="3">
        <v>0</v>
      </c>
      <c r="J25" s="3">
        <v>0</v>
      </c>
      <c r="K25" s="3">
        <v>5975</v>
      </c>
      <c r="L25" s="3">
        <v>1</v>
      </c>
      <c r="M25" s="3">
        <v>6</v>
      </c>
      <c r="N25" s="9">
        <f t="shared" si="1"/>
        <v>59840000000</v>
      </c>
      <c r="O25" s="9">
        <f t="shared" si="2"/>
        <v>5975</v>
      </c>
      <c r="P25" s="3">
        <f t="shared" si="3"/>
        <v>-9</v>
      </c>
      <c r="Q25" s="3">
        <f t="shared" si="4"/>
        <v>0.99999990000000005</v>
      </c>
      <c r="R25" s="3">
        <f t="shared" si="5"/>
        <v>6</v>
      </c>
      <c r="S25" s="9">
        <f t="shared" si="6"/>
        <v>-59839994025</v>
      </c>
      <c r="T25" s="9">
        <f t="shared" si="8"/>
        <v>-90000000</v>
      </c>
      <c r="U25" s="9" t="e">
        <f t="shared" si="9"/>
        <v>#DIV/0!</v>
      </c>
      <c r="V25" s="4">
        <f t="shared" si="10"/>
        <v>-0.1</v>
      </c>
      <c r="W25" s="2">
        <f t="shared" si="7"/>
        <v>0</v>
      </c>
    </row>
    <row r="26" spans="1:23">
      <c r="A26">
        <v>23</v>
      </c>
      <c r="B26" s="4">
        <f t="shared" si="0"/>
        <v>18.5302734375</v>
      </c>
      <c r="C26" s="4">
        <v>20.2</v>
      </c>
      <c r="D26" s="4">
        <v>0.1</v>
      </c>
      <c r="E26" s="4">
        <v>0.61799999999999999</v>
      </c>
      <c r="F26" s="2">
        <v>0.56399999999999995</v>
      </c>
      <c r="G26" s="3">
        <v>5984</v>
      </c>
      <c r="H26" s="3">
        <v>9.9999999999999995E-8</v>
      </c>
      <c r="I26" s="3">
        <v>0</v>
      </c>
      <c r="J26" s="3">
        <v>0</v>
      </c>
      <c r="K26" s="3">
        <v>5975</v>
      </c>
      <c r="L26" s="3">
        <v>1</v>
      </c>
      <c r="M26" s="3">
        <v>6</v>
      </c>
      <c r="N26" s="9">
        <f t="shared" si="1"/>
        <v>59840000000</v>
      </c>
      <c r="O26" s="9">
        <f t="shared" si="2"/>
        <v>5975</v>
      </c>
      <c r="P26" s="3">
        <f t="shared" si="3"/>
        <v>-9</v>
      </c>
      <c r="Q26" s="3">
        <f t="shared" si="4"/>
        <v>0.99999990000000005</v>
      </c>
      <c r="R26" s="3">
        <f t="shared" si="5"/>
        <v>6</v>
      </c>
      <c r="S26" s="9">
        <f t="shared" si="6"/>
        <v>-59839994025</v>
      </c>
      <c r="T26" s="9">
        <f t="shared" si="8"/>
        <v>-90000000</v>
      </c>
      <c r="U26" s="9">
        <f t="shared" si="9"/>
        <v>201.99999999999997</v>
      </c>
      <c r="V26" s="4">
        <f t="shared" si="10"/>
        <v>0.1</v>
      </c>
      <c r="W26" s="2">
        <f t="shared" si="7"/>
        <v>0.56399999999999995</v>
      </c>
    </row>
    <row r="27" spans="1:23">
      <c r="A27">
        <v>24</v>
      </c>
      <c r="B27" s="4">
        <f t="shared" si="0"/>
        <v>19.3359375</v>
      </c>
      <c r="C27" s="4">
        <v>21</v>
      </c>
      <c r="D27" s="4">
        <v>0.1</v>
      </c>
      <c r="E27" s="4">
        <v>0.1</v>
      </c>
      <c r="F27" s="2">
        <v>0.69699999999999995</v>
      </c>
      <c r="G27" s="3">
        <v>5980</v>
      </c>
      <c r="H27" s="3">
        <v>1</v>
      </c>
      <c r="I27" s="3">
        <v>6</v>
      </c>
      <c r="J27" s="3">
        <v>2</v>
      </c>
      <c r="K27" s="3">
        <v>5975</v>
      </c>
      <c r="L27" s="3">
        <v>2</v>
      </c>
      <c r="M27" s="3">
        <v>12</v>
      </c>
      <c r="N27" s="9">
        <f t="shared" si="1"/>
        <v>5980</v>
      </c>
      <c r="O27" s="9">
        <f t="shared" si="2"/>
        <v>2987.5</v>
      </c>
      <c r="P27" s="3">
        <f t="shared" si="3"/>
        <v>-5</v>
      </c>
      <c r="Q27" s="3">
        <f t="shared" si="4"/>
        <v>1</v>
      </c>
      <c r="R27" s="3">
        <f t="shared" si="5"/>
        <v>6</v>
      </c>
      <c r="S27" s="9">
        <f t="shared" si="6"/>
        <v>-2992.5</v>
      </c>
      <c r="T27" s="9">
        <f t="shared" si="8"/>
        <v>-5</v>
      </c>
      <c r="U27" s="9">
        <f t="shared" si="9"/>
        <v>210</v>
      </c>
      <c r="V27" s="4">
        <f t="shared" si="10"/>
        <v>0</v>
      </c>
      <c r="W27" s="2">
        <f t="shared" si="7"/>
        <v>0.13300000000000001</v>
      </c>
    </row>
    <row r="28" spans="1:23">
      <c r="A28">
        <v>25</v>
      </c>
      <c r="B28" s="4">
        <f t="shared" si="0"/>
        <v>20.1416015625</v>
      </c>
      <c r="C28" s="4">
        <v>21.8</v>
      </c>
      <c r="D28" s="4">
        <v>0.2</v>
      </c>
      <c r="E28" s="4">
        <v>0</v>
      </c>
      <c r="F28" s="2">
        <v>0.72799999999999998</v>
      </c>
      <c r="G28" s="3">
        <v>5984</v>
      </c>
      <c r="H28" s="3">
        <v>1</v>
      </c>
      <c r="I28" s="3">
        <v>9</v>
      </c>
      <c r="J28" s="3">
        <v>10</v>
      </c>
      <c r="K28" s="3">
        <v>5975</v>
      </c>
      <c r="L28" s="3">
        <v>2</v>
      </c>
      <c r="M28" s="3">
        <v>12</v>
      </c>
      <c r="N28" s="9">
        <f t="shared" si="1"/>
        <v>5984</v>
      </c>
      <c r="O28" s="9">
        <f t="shared" si="2"/>
        <v>2987.5</v>
      </c>
      <c r="P28" s="3">
        <f t="shared" si="3"/>
        <v>-9</v>
      </c>
      <c r="Q28" s="3">
        <f t="shared" si="4"/>
        <v>1</v>
      </c>
      <c r="R28" s="3">
        <f t="shared" si="5"/>
        <v>3</v>
      </c>
      <c r="S28" s="9">
        <f t="shared" si="6"/>
        <v>-2996.5</v>
      </c>
      <c r="T28" s="9">
        <f t="shared" si="8"/>
        <v>-9</v>
      </c>
      <c r="U28" s="9">
        <f t="shared" si="9"/>
        <v>109</v>
      </c>
      <c r="V28" s="4">
        <f t="shared" si="10"/>
        <v>0.1</v>
      </c>
      <c r="W28" s="2">
        <f t="shared" si="7"/>
        <v>3.1000000000000028E-2</v>
      </c>
    </row>
    <row r="29" spans="1:23">
      <c r="A29">
        <v>26</v>
      </c>
      <c r="B29" s="4">
        <f t="shared" si="0"/>
        <v>20.947265625</v>
      </c>
      <c r="C29" s="4">
        <v>22.6</v>
      </c>
      <c r="D29" s="4">
        <v>0.3</v>
      </c>
      <c r="E29" s="4">
        <v>0</v>
      </c>
      <c r="F29" s="2">
        <v>0.745</v>
      </c>
      <c r="G29" s="3">
        <v>5980</v>
      </c>
      <c r="H29" s="3">
        <v>2</v>
      </c>
      <c r="I29" s="3">
        <v>15</v>
      </c>
      <c r="J29" s="3">
        <v>19</v>
      </c>
      <c r="K29" s="3">
        <v>5975</v>
      </c>
      <c r="L29" s="3">
        <v>3</v>
      </c>
      <c r="M29" s="3">
        <v>18</v>
      </c>
      <c r="N29" s="9">
        <f t="shared" si="1"/>
        <v>2990</v>
      </c>
      <c r="O29" s="9">
        <f t="shared" si="2"/>
        <v>1991.6666666666667</v>
      </c>
      <c r="P29" s="3">
        <f t="shared" si="3"/>
        <v>-5</v>
      </c>
      <c r="Q29" s="3">
        <f t="shared" si="4"/>
        <v>1</v>
      </c>
      <c r="R29" s="3">
        <f t="shared" si="5"/>
        <v>3</v>
      </c>
      <c r="S29" s="9">
        <f t="shared" si="6"/>
        <v>-998.33333333333326</v>
      </c>
      <c r="T29" s="9">
        <f t="shared" si="8"/>
        <v>-2.5</v>
      </c>
      <c r="U29" s="9">
        <f t="shared" si="9"/>
        <v>75.333333333333343</v>
      </c>
      <c r="V29" s="4">
        <f t="shared" si="10"/>
        <v>9.9999999999999978E-2</v>
      </c>
      <c r="W29" s="2">
        <f t="shared" si="7"/>
        <v>1.7000000000000015E-2</v>
      </c>
    </row>
    <row r="30" spans="1:23">
      <c r="A30">
        <v>27</v>
      </c>
      <c r="B30" s="4">
        <f t="shared" si="0"/>
        <v>21.7529296875</v>
      </c>
      <c r="C30" s="4">
        <v>23.4</v>
      </c>
      <c r="D30" s="4">
        <v>0.4</v>
      </c>
      <c r="E30" s="4">
        <v>0.1</v>
      </c>
      <c r="F30" s="2">
        <v>0.76</v>
      </c>
      <c r="G30" s="3">
        <v>5980</v>
      </c>
      <c r="H30" s="3">
        <v>3</v>
      </c>
      <c r="I30" s="3">
        <v>19</v>
      </c>
      <c r="J30" s="3">
        <v>28</v>
      </c>
      <c r="K30" s="3">
        <v>5975</v>
      </c>
      <c r="L30" s="3">
        <v>4</v>
      </c>
      <c r="M30" s="3">
        <v>24</v>
      </c>
      <c r="N30" s="9">
        <f t="shared" si="1"/>
        <v>1993.3333333333333</v>
      </c>
      <c r="O30" s="9">
        <f t="shared" si="2"/>
        <v>1493.75</v>
      </c>
      <c r="P30" s="3">
        <f t="shared" si="3"/>
        <v>-5</v>
      </c>
      <c r="Q30" s="3">
        <f t="shared" si="4"/>
        <v>1</v>
      </c>
      <c r="R30" s="3">
        <f t="shared" si="5"/>
        <v>5</v>
      </c>
      <c r="S30" s="9">
        <f t="shared" si="6"/>
        <v>-499.58333333333326</v>
      </c>
      <c r="T30" s="9">
        <f t="shared" si="8"/>
        <v>-1.6666666666666667</v>
      </c>
      <c r="U30" s="9">
        <f t="shared" si="9"/>
        <v>58.499999999999993</v>
      </c>
      <c r="V30" s="4">
        <f t="shared" si="10"/>
        <v>0.10000000000000003</v>
      </c>
      <c r="W30" s="2">
        <f t="shared" si="7"/>
        <v>1.5000000000000013E-2</v>
      </c>
    </row>
    <row r="31" spans="1:23">
      <c r="A31">
        <v>28</v>
      </c>
      <c r="B31" s="4">
        <f t="shared" si="0"/>
        <v>22.55859375</v>
      </c>
      <c r="C31" s="4">
        <v>24.2</v>
      </c>
      <c r="D31" s="4">
        <v>0.4</v>
      </c>
      <c r="E31" s="4">
        <v>0.1</v>
      </c>
      <c r="F31" s="2">
        <v>0.77</v>
      </c>
      <c r="G31" s="3">
        <v>5980</v>
      </c>
      <c r="H31" s="3">
        <v>3</v>
      </c>
      <c r="I31" s="3">
        <v>24</v>
      </c>
      <c r="J31" s="3">
        <v>32</v>
      </c>
      <c r="K31" s="3">
        <v>5975</v>
      </c>
      <c r="L31" s="3">
        <v>4</v>
      </c>
      <c r="M31" s="3">
        <v>24</v>
      </c>
      <c r="N31" s="9">
        <f t="shared" si="1"/>
        <v>1993.3333333333333</v>
      </c>
      <c r="O31" s="9">
        <f t="shared" si="2"/>
        <v>1493.75</v>
      </c>
      <c r="P31" s="3">
        <f t="shared" si="3"/>
        <v>-5</v>
      </c>
      <c r="Q31" s="3">
        <f t="shared" si="4"/>
        <v>1</v>
      </c>
      <c r="R31" s="3">
        <f t="shared" si="5"/>
        <v>0</v>
      </c>
      <c r="S31" s="9">
        <f t="shared" si="6"/>
        <v>-499.58333333333326</v>
      </c>
      <c r="T31" s="9">
        <f t="shared" si="8"/>
        <v>-1.6666666666666667</v>
      </c>
      <c r="U31" s="9">
        <f t="shared" si="9"/>
        <v>60.499999999999993</v>
      </c>
      <c r="V31" s="4">
        <f t="shared" si="10"/>
        <v>0</v>
      </c>
      <c r="W31" s="2">
        <f t="shared" si="7"/>
        <v>1.0000000000000009E-2</v>
      </c>
    </row>
    <row r="32" spans="1:23">
      <c r="A32">
        <v>29</v>
      </c>
      <c r="B32" s="4">
        <f t="shared" si="0"/>
        <v>23.3642578125</v>
      </c>
      <c r="C32" s="4">
        <v>25</v>
      </c>
      <c r="D32" s="4">
        <v>0.5</v>
      </c>
      <c r="E32" s="4">
        <v>0.1</v>
      </c>
      <c r="F32" s="2">
        <v>0.77400000000000002</v>
      </c>
      <c r="G32" s="3">
        <v>5980</v>
      </c>
      <c r="H32" s="3">
        <v>4</v>
      </c>
      <c r="I32" s="3">
        <v>28</v>
      </c>
      <c r="J32" s="3">
        <v>40</v>
      </c>
      <c r="K32" s="3">
        <v>5975</v>
      </c>
      <c r="L32" s="3">
        <v>5</v>
      </c>
      <c r="M32" s="3">
        <v>30</v>
      </c>
      <c r="N32" s="9">
        <f t="shared" si="1"/>
        <v>1495</v>
      </c>
      <c r="O32" s="9">
        <f t="shared" si="2"/>
        <v>1195</v>
      </c>
      <c r="P32" s="3">
        <f t="shared" si="3"/>
        <v>-5</v>
      </c>
      <c r="Q32" s="3">
        <f t="shared" si="4"/>
        <v>1</v>
      </c>
      <c r="R32" s="3">
        <f t="shared" si="5"/>
        <v>2</v>
      </c>
      <c r="S32" s="9">
        <f t="shared" si="6"/>
        <v>-300</v>
      </c>
      <c r="T32" s="9">
        <f t="shared" si="8"/>
        <v>-1.25</v>
      </c>
      <c r="U32" s="9">
        <f t="shared" si="9"/>
        <v>50</v>
      </c>
      <c r="V32" s="4">
        <f t="shared" si="10"/>
        <v>9.9999999999999978E-2</v>
      </c>
      <c r="W32" s="2">
        <f t="shared" si="7"/>
        <v>4.0000000000000036E-3</v>
      </c>
    </row>
    <row r="33" spans="1:23">
      <c r="A33">
        <v>30</v>
      </c>
      <c r="B33" s="4">
        <f t="shared" si="0"/>
        <v>24.169921875</v>
      </c>
      <c r="C33" s="4">
        <v>25.8</v>
      </c>
      <c r="D33" s="4">
        <v>0.6</v>
      </c>
      <c r="E33" s="4">
        <v>0.1</v>
      </c>
      <c r="F33" s="2">
        <v>0.752</v>
      </c>
      <c r="G33" s="3">
        <v>5980</v>
      </c>
      <c r="H33" s="3">
        <v>5</v>
      </c>
      <c r="I33" s="3">
        <v>34</v>
      </c>
      <c r="J33" s="3">
        <v>55</v>
      </c>
      <c r="K33" s="3">
        <v>5975</v>
      </c>
      <c r="L33" s="3">
        <v>6</v>
      </c>
      <c r="M33" s="3">
        <v>36</v>
      </c>
      <c r="N33" s="9">
        <f t="shared" si="1"/>
        <v>1196</v>
      </c>
      <c r="O33" s="9">
        <f t="shared" si="2"/>
        <v>995.83333333333337</v>
      </c>
      <c r="P33" s="3">
        <f t="shared" si="3"/>
        <v>-5</v>
      </c>
      <c r="Q33" s="3">
        <f t="shared" si="4"/>
        <v>1</v>
      </c>
      <c r="R33" s="3">
        <f t="shared" si="5"/>
        <v>2</v>
      </c>
      <c r="S33" s="9">
        <f t="shared" si="6"/>
        <v>-200.16666666666663</v>
      </c>
      <c r="T33" s="9">
        <f t="shared" si="8"/>
        <v>-1</v>
      </c>
      <c r="U33" s="9">
        <f t="shared" si="9"/>
        <v>43</v>
      </c>
      <c r="V33" s="4">
        <f t="shared" si="10"/>
        <v>9.9999999999999978E-2</v>
      </c>
      <c r="W33" s="2">
        <f t="shared" si="7"/>
        <v>-2.200000000000002E-2</v>
      </c>
    </row>
    <row r="34" spans="1:23">
      <c r="A34">
        <v>31</v>
      </c>
      <c r="B34" s="4">
        <f t="shared" si="0"/>
        <v>24.9755859375</v>
      </c>
      <c r="C34" s="4">
        <v>26.6</v>
      </c>
      <c r="D34" s="4">
        <v>0.7</v>
      </c>
      <c r="E34" s="4">
        <v>0.1</v>
      </c>
      <c r="F34" s="2">
        <v>0.72099999999999997</v>
      </c>
      <c r="G34" s="3">
        <v>5976</v>
      </c>
      <c r="H34" s="3">
        <v>5</v>
      </c>
      <c r="I34" s="3">
        <v>37</v>
      </c>
      <c r="J34" s="3">
        <v>65</v>
      </c>
      <c r="K34" s="3">
        <v>5975</v>
      </c>
      <c r="L34" s="3">
        <v>7</v>
      </c>
      <c r="M34" s="3">
        <v>42</v>
      </c>
      <c r="N34" s="9">
        <f t="shared" si="1"/>
        <v>1195.2</v>
      </c>
      <c r="O34" s="9">
        <f t="shared" si="2"/>
        <v>853.57142857142856</v>
      </c>
      <c r="P34" s="3">
        <f t="shared" si="3"/>
        <v>-1</v>
      </c>
      <c r="Q34" s="3">
        <f t="shared" si="4"/>
        <v>2</v>
      </c>
      <c r="R34" s="3">
        <f t="shared" si="5"/>
        <v>5</v>
      </c>
      <c r="S34" s="9">
        <f t="shared" si="6"/>
        <v>-341.62857142857149</v>
      </c>
      <c r="T34" s="9">
        <f t="shared" si="8"/>
        <v>-0.2</v>
      </c>
      <c r="U34" s="9">
        <f t="shared" si="9"/>
        <v>38.000000000000007</v>
      </c>
      <c r="V34" s="4">
        <f t="shared" si="10"/>
        <v>9.9999999999999978E-2</v>
      </c>
      <c r="W34" s="2">
        <f t="shared" si="7"/>
        <v>-3.1000000000000028E-2</v>
      </c>
    </row>
    <row r="35" spans="1:23">
      <c r="A35">
        <v>32</v>
      </c>
      <c r="B35" s="4">
        <f t="shared" si="0"/>
        <v>25.78125</v>
      </c>
      <c r="C35" s="4">
        <v>27.4</v>
      </c>
      <c r="D35" s="4">
        <v>0.8</v>
      </c>
      <c r="E35" s="4">
        <v>0.1</v>
      </c>
      <c r="F35" s="2">
        <v>0.70899999999999996</v>
      </c>
      <c r="G35" s="3">
        <v>5980</v>
      </c>
      <c r="H35" s="3">
        <v>7</v>
      </c>
      <c r="I35" s="3">
        <v>43</v>
      </c>
      <c r="J35" s="3">
        <v>0</v>
      </c>
      <c r="K35" s="3">
        <v>5975</v>
      </c>
      <c r="L35" s="3">
        <v>8</v>
      </c>
      <c r="M35" s="3">
        <v>48</v>
      </c>
      <c r="N35" s="9">
        <f t="shared" si="1"/>
        <v>854.28571428571433</v>
      </c>
      <c r="O35" s="9">
        <f t="shared" si="2"/>
        <v>746.875</v>
      </c>
      <c r="P35" s="3">
        <f t="shared" ref="P35:P66" si="11">(K35-G35)</f>
        <v>-5</v>
      </c>
      <c r="Q35" s="3">
        <f t="shared" ref="Q35:Q66" si="12">(L35-H35)</f>
        <v>1</v>
      </c>
      <c r="R35" s="3">
        <f t="shared" ref="R35:R66" si="13">(M35-I35)</f>
        <v>5</v>
      </c>
      <c r="S35" s="9">
        <f t="shared" si="6"/>
        <v>-107.41071428571433</v>
      </c>
      <c r="T35" s="9">
        <f t="shared" si="8"/>
        <v>-0.7142857142857143</v>
      </c>
      <c r="U35" s="9">
        <f t="shared" si="9"/>
        <v>34.249999999999993</v>
      </c>
      <c r="V35" s="4">
        <f t="shared" si="10"/>
        <v>0.10000000000000009</v>
      </c>
      <c r="W35" s="2">
        <f t="shared" si="7"/>
        <v>-1.2000000000000011E-2</v>
      </c>
    </row>
    <row r="36" spans="1:23">
      <c r="A36">
        <v>33</v>
      </c>
      <c r="B36" s="4">
        <f t="shared" si="0"/>
        <v>26.5869140625</v>
      </c>
      <c r="C36" s="4">
        <v>28.2</v>
      </c>
      <c r="D36" s="4">
        <v>0.8</v>
      </c>
      <c r="E36" s="4">
        <v>0.1</v>
      </c>
      <c r="F36" s="2">
        <v>0.69699999999999995</v>
      </c>
      <c r="G36" s="3">
        <v>5980</v>
      </c>
      <c r="H36" s="3">
        <v>7</v>
      </c>
      <c r="I36" s="3">
        <v>47</v>
      </c>
      <c r="J36" s="3">
        <v>31</v>
      </c>
      <c r="K36" s="3">
        <v>5975</v>
      </c>
      <c r="L36" s="3">
        <v>9</v>
      </c>
      <c r="M36" s="3">
        <v>54</v>
      </c>
      <c r="N36" s="9">
        <f t="shared" si="1"/>
        <v>854.28571428571433</v>
      </c>
      <c r="O36" s="9">
        <f t="shared" si="2"/>
        <v>663.88888888888891</v>
      </c>
      <c r="P36" s="3">
        <f t="shared" si="11"/>
        <v>-5</v>
      </c>
      <c r="Q36" s="3">
        <f t="shared" si="12"/>
        <v>2</v>
      </c>
      <c r="R36" s="3">
        <f t="shared" si="13"/>
        <v>7</v>
      </c>
      <c r="S36" s="9">
        <f t="shared" si="6"/>
        <v>-190.39682539682542</v>
      </c>
      <c r="T36" s="9">
        <f t="shared" si="8"/>
        <v>-0.7142857142857143</v>
      </c>
      <c r="U36" s="9">
        <f t="shared" si="9"/>
        <v>35.25</v>
      </c>
      <c r="V36" s="4">
        <f t="shared" si="10"/>
        <v>0</v>
      </c>
      <c r="W36" s="2">
        <f t="shared" si="7"/>
        <v>-1.2000000000000011E-2</v>
      </c>
    </row>
    <row r="37" spans="1:23">
      <c r="A37">
        <v>34</v>
      </c>
      <c r="B37" s="4">
        <f t="shared" si="0"/>
        <v>27.392578125</v>
      </c>
      <c r="C37" s="4">
        <v>29.1</v>
      </c>
      <c r="D37" s="4">
        <v>0.9</v>
      </c>
      <c r="E37" s="4">
        <v>0.1</v>
      </c>
      <c r="F37" s="2">
        <v>0.69099999999999995</v>
      </c>
      <c r="G37" s="3">
        <v>5976</v>
      </c>
      <c r="H37" s="3">
        <v>8</v>
      </c>
      <c r="I37" s="3">
        <v>53</v>
      </c>
      <c r="J37" s="3">
        <v>88</v>
      </c>
      <c r="K37" s="3">
        <v>5975</v>
      </c>
      <c r="L37" s="3">
        <v>9</v>
      </c>
      <c r="M37" s="3">
        <v>54</v>
      </c>
      <c r="N37" s="9">
        <f t="shared" si="1"/>
        <v>747</v>
      </c>
      <c r="O37" s="9">
        <f t="shared" si="2"/>
        <v>663.88888888888891</v>
      </c>
      <c r="P37" s="3">
        <f t="shared" si="11"/>
        <v>-1</v>
      </c>
      <c r="Q37" s="3">
        <f t="shared" si="12"/>
        <v>1</v>
      </c>
      <c r="R37" s="3">
        <f t="shared" si="13"/>
        <v>1</v>
      </c>
      <c r="S37" s="9">
        <f t="shared" si="6"/>
        <v>-83.111111111111086</v>
      </c>
      <c r="T37" s="9">
        <f t="shared" si="8"/>
        <v>-0.125</v>
      </c>
      <c r="U37" s="9">
        <f t="shared" si="9"/>
        <v>32.333333333333336</v>
      </c>
      <c r="V37" s="4">
        <f t="shared" si="10"/>
        <v>9.9999999999999978E-2</v>
      </c>
      <c r="W37" s="2">
        <f t="shared" si="7"/>
        <v>-6.0000000000000053E-3</v>
      </c>
    </row>
    <row r="38" spans="1:23">
      <c r="A38">
        <v>35</v>
      </c>
      <c r="B38" s="4">
        <f t="shared" si="0"/>
        <v>28.1982421875</v>
      </c>
      <c r="C38" s="4">
        <v>29.9</v>
      </c>
      <c r="D38" s="4">
        <v>1</v>
      </c>
      <c r="E38" s="4">
        <v>0.1</v>
      </c>
      <c r="F38" s="2">
        <v>0.68700000000000006</v>
      </c>
      <c r="G38" s="3">
        <v>5980</v>
      </c>
      <c r="H38" s="3">
        <v>9</v>
      </c>
      <c r="I38" s="3">
        <v>58</v>
      </c>
      <c r="J38" s="3">
        <v>93</v>
      </c>
      <c r="K38" s="3">
        <v>5975</v>
      </c>
      <c r="L38" s="3">
        <v>10</v>
      </c>
      <c r="M38" s="3">
        <v>60</v>
      </c>
      <c r="N38" s="9">
        <f t="shared" si="1"/>
        <v>664.44444444444446</v>
      </c>
      <c r="O38" s="9">
        <f t="shared" si="2"/>
        <v>597.5</v>
      </c>
      <c r="P38" s="3">
        <f t="shared" si="11"/>
        <v>-5</v>
      </c>
      <c r="Q38" s="3">
        <f t="shared" si="12"/>
        <v>1</v>
      </c>
      <c r="R38" s="3">
        <f t="shared" si="13"/>
        <v>2</v>
      </c>
      <c r="S38" s="9">
        <f t="shared" si="6"/>
        <v>-66.944444444444457</v>
      </c>
      <c r="T38" s="9">
        <f t="shared" si="8"/>
        <v>-0.55555555555555558</v>
      </c>
      <c r="U38" s="9">
        <f t="shared" si="9"/>
        <v>29.9</v>
      </c>
      <c r="V38" s="4">
        <f t="shared" si="10"/>
        <v>9.9999999999999978E-2</v>
      </c>
      <c r="W38" s="2">
        <f t="shared" si="7"/>
        <v>-3.9999999999998925E-3</v>
      </c>
    </row>
    <row r="39" spans="1:23">
      <c r="A39">
        <v>36</v>
      </c>
      <c r="B39" s="4">
        <f t="shared" si="0"/>
        <v>29.00390625</v>
      </c>
      <c r="C39" s="4">
        <v>30.7</v>
      </c>
      <c r="D39" s="4">
        <v>1.1000000000000001</v>
      </c>
      <c r="E39" s="4">
        <v>0.1</v>
      </c>
      <c r="F39" s="2">
        <v>0.68500000000000005</v>
      </c>
      <c r="G39" s="3">
        <v>5976</v>
      </c>
      <c r="H39" s="3">
        <v>10</v>
      </c>
      <c r="I39" s="3">
        <v>62</v>
      </c>
      <c r="J39" s="3">
        <v>102</v>
      </c>
      <c r="K39" s="3">
        <v>5975</v>
      </c>
      <c r="L39" s="3">
        <v>11</v>
      </c>
      <c r="M39" s="3">
        <v>66</v>
      </c>
      <c r="N39" s="9">
        <f t="shared" si="1"/>
        <v>597.6</v>
      </c>
      <c r="O39" s="9">
        <f t="shared" si="2"/>
        <v>543.18181818181813</v>
      </c>
      <c r="P39" s="3">
        <f t="shared" si="11"/>
        <v>-1</v>
      </c>
      <c r="Q39" s="3">
        <f t="shared" si="12"/>
        <v>1</v>
      </c>
      <c r="R39" s="3">
        <f t="shared" si="13"/>
        <v>4</v>
      </c>
      <c r="S39" s="9">
        <f t="shared" si="6"/>
        <v>-54.418181818181893</v>
      </c>
      <c r="T39" s="9">
        <f t="shared" si="8"/>
        <v>-0.1</v>
      </c>
      <c r="U39" s="9">
        <f t="shared" si="9"/>
        <v>27.909090909090907</v>
      </c>
      <c r="V39" s="4">
        <f t="shared" si="10"/>
        <v>0.10000000000000009</v>
      </c>
      <c r="W39" s="2">
        <f t="shared" si="7"/>
        <v>-2.0000000000000018E-3</v>
      </c>
    </row>
    <row r="40" spans="1:23">
      <c r="A40">
        <v>37</v>
      </c>
      <c r="B40" s="4">
        <f t="shared" si="0"/>
        <v>29.8095703125</v>
      </c>
      <c r="C40" s="4">
        <v>31.5</v>
      </c>
      <c r="D40" s="4">
        <v>1.2</v>
      </c>
      <c r="E40" s="4">
        <v>0.1</v>
      </c>
      <c r="F40" s="2">
        <v>0.68200000000000005</v>
      </c>
      <c r="G40" s="3">
        <v>5980</v>
      </c>
      <c r="H40" s="3">
        <v>11</v>
      </c>
      <c r="I40" s="3">
        <v>68</v>
      </c>
      <c r="J40" s="3">
        <v>106</v>
      </c>
      <c r="K40" s="3">
        <v>5975</v>
      </c>
      <c r="L40" s="3">
        <v>12</v>
      </c>
      <c r="M40" s="3">
        <v>72</v>
      </c>
      <c r="N40" s="9">
        <f t="shared" si="1"/>
        <v>543.63636363636363</v>
      </c>
      <c r="O40" s="9">
        <f t="shared" si="2"/>
        <v>497.91666666666669</v>
      </c>
      <c r="P40" s="3">
        <f t="shared" si="11"/>
        <v>-5</v>
      </c>
      <c r="Q40" s="3">
        <f t="shared" si="12"/>
        <v>1</v>
      </c>
      <c r="R40" s="3">
        <f t="shared" si="13"/>
        <v>4</v>
      </c>
      <c r="S40" s="9">
        <f t="shared" si="6"/>
        <v>-45.71969696969694</v>
      </c>
      <c r="T40" s="9">
        <f t="shared" si="8"/>
        <v>-0.45454545454545453</v>
      </c>
      <c r="U40" s="9">
        <f t="shared" si="9"/>
        <v>26.25</v>
      </c>
      <c r="V40" s="4">
        <f t="shared" si="10"/>
        <v>9.9999999999999867E-2</v>
      </c>
      <c r="W40" s="2">
        <f t="shared" si="7"/>
        <v>-3.0000000000000027E-3</v>
      </c>
    </row>
    <row r="41" spans="1:23">
      <c r="A41">
        <v>38</v>
      </c>
      <c r="B41" s="4">
        <f t="shared" si="0"/>
        <v>30.615234375</v>
      </c>
      <c r="C41" s="4">
        <v>32.299999999999997</v>
      </c>
      <c r="D41" s="4">
        <v>1.3</v>
      </c>
      <c r="E41" s="4">
        <v>0.1</v>
      </c>
      <c r="F41" s="2">
        <v>0.68200000000000005</v>
      </c>
      <c r="G41" s="3">
        <v>5976</v>
      </c>
      <c r="H41" s="3">
        <v>12</v>
      </c>
      <c r="I41" s="3">
        <v>72</v>
      </c>
      <c r="J41" s="3">
        <v>120</v>
      </c>
      <c r="K41" s="3">
        <v>5975</v>
      </c>
      <c r="L41" s="3">
        <v>13</v>
      </c>
      <c r="M41" s="3">
        <v>78</v>
      </c>
      <c r="N41" s="9">
        <f t="shared" si="1"/>
        <v>498</v>
      </c>
      <c r="O41" s="9">
        <f t="shared" si="2"/>
        <v>459.61538461538464</v>
      </c>
      <c r="P41" s="3">
        <f t="shared" si="11"/>
        <v>-1</v>
      </c>
      <c r="Q41" s="3">
        <f t="shared" si="12"/>
        <v>1</v>
      </c>
      <c r="R41" s="3">
        <f t="shared" si="13"/>
        <v>6</v>
      </c>
      <c r="S41" s="9">
        <f t="shared" si="6"/>
        <v>-38.384615384615358</v>
      </c>
      <c r="T41" s="9">
        <f t="shared" si="8"/>
        <v>-8.3333333333333329E-2</v>
      </c>
      <c r="U41" s="9">
        <f t="shared" si="9"/>
        <v>24.846153846153843</v>
      </c>
      <c r="V41" s="4">
        <f t="shared" si="10"/>
        <v>0.10000000000000009</v>
      </c>
      <c r="W41" s="2">
        <f t="shared" si="7"/>
        <v>0</v>
      </c>
    </row>
    <row r="42" spans="1:23">
      <c r="A42">
        <v>39</v>
      </c>
      <c r="B42" s="4">
        <f t="shared" si="0"/>
        <v>31.4208984375</v>
      </c>
      <c r="C42" s="4">
        <v>33.1</v>
      </c>
      <c r="D42" s="4">
        <v>1.4</v>
      </c>
      <c r="E42" s="4">
        <v>0.1</v>
      </c>
      <c r="F42" s="2">
        <v>0.67700000000000005</v>
      </c>
      <c r="G42" s="3">
        <v>5976</v>
      </c>
      <c r="H42" s="3">
        <v>13</v>
      </c>
      <c r="I42" s="3">
        <v>78</v>
      </c>
      <c r="J42" s="3">
        <v>131</v>
      </c>
      <c r="K42" s="3">
        <v>5975</v>
      </c>
      <c r="L42" s="3">
        <v>14</v>
      </c>
      <c r="M42" s="3">
        <v>84</v>
      </c>
      <c r="N42" s="9">
        <f t="shared" si="1"/>
        <v>459.69230769230768</v>
      </c>
      <c r="O42" s="9">
        <f t="shared" si="2"/>
        <v>426.78571428571428</v>
      </c>
      <c r="P42" s="3">
        <f t="shared" si="11"/>
        <v>-1</v>
      </c>
      <c r="Q42" s="3">
        <f t="shared" si="12"/>
        <v>1</v>
      </c>
      <c r="R42" s="3">
        <f t="shared" si="13"/>
        <v>6</v>
      </c>
      <c r="S42" s="9">
        <f t="shared" si="6"/>
        <v>-32.906593406593402</v>
      </c>
      <c r="T42" s="9">
        <f t="shared" si="8"/>
        <v>-7.6923076923076927E-2</v>
      </c>
      <c r="U42" s="9">
        <f t="shared" si="9"/>
        <v>23.642857142857146</v>
      </c>
      <c r="V42" s="4">
        <f t="shared" si="10"/>
        <v>9.9999999999999867E-2</v>
      </c>
      <c r="W42" s="2">
        <f t="shared" si="7"/>
        <v>-5.0000000000000044E-3</v>
      </c>
    </row>
    <row r="43" spans="1:23">
      <c r="A43">
        <v>40</v>
      </c>
      <c r="B43" s="4">
        <f t="shared" si="0"/>
        <v>32.2265625</v>
      </c>
      <c r="C43" s="4">
        <v>33.9</v>
      </c>
      <c r="D43" s="4">
        <v>1.5</v>
      </c>
      <c r="E43" s="4">
        <v>0.1</v>
      </c>
      <c r="F43" s="2">
        <v>0.68100000000000005</v>
      </c>
      <c r="G43" s="3">
        <v>5976</v>
      </c>
      <c r="H43" s="3">
        <v>14</v>
      </c>
      <c r="I43" s="3">
        <v>84</v>
      </c>
      <c r="J43" s="3">
        <v>134</v>
      </c>
      <c r="K43" s="3">
        <v>5975</v>
      </c>
      <c r="L43" s="3">
        <v>15</v>
      </c>
      <c r="M43" s="3">
        <v>90</v>
      </c>
      <c r="N43" s="9">
        <f t="shared" si="1"/>
        <v>426.85714285714283</v>
      </c>
      <c r="O43" s="9">
        <f t="shared" si="2"/>
        <v>398.33333333333331</v>
      </c>
      <c r="P43" s="3">
        <f t="shared" si="11"/>
        <v>-1</v>
      </c>
      <c r="Q43" s="3">
        <f t="shared" si="12"/>
        <v>1</v>
      </c>
      <c r="R43" s="3">
        <f t="shared" si="13"/>
        <v>6</v>
      </c>
      <c r="S43" s="9">
        <f t="shared" si="6"/>
        <v>-28.523809523809518</v>
      </c>
      <c r="T43" s="9">
        <f t="shared" si="8"/>
        <v>-7.1428571428571425E-2</v>
      </c>
      <c r="U43" s="9">
        <f t="shared" si="9"/>
        <v>22.599999999999998</v>
      </c>
      <c r="V43" s="4">
        <f t="shared" si="10"/>
        <v>0.10000000000000009</v>
      </c>
      <c r="W43" s="2">
        <f t="shared" si="7"/>
        <v>4.0000000000000036E-3</v>
      </c>
    </row>
    <row r="44" spans="1:23">
      <c r="A44">
        <v>41</v>
      </c>
      <c r="B44" s="4">
        <f t="shared" si="0"/>
        <v>33.0322265625</v>
      </c>
      <c r="C44" s="4">
        <v>34.700000000000003</v>
      </c>
      <c r="D44" s="4">
        <v>1.6</v>
      </c>
      <c r="E44" s="4">
        <v>0.1</v>
      </c>
      <c r="F44" s="2">
        <v>0.68100000000000005</v>
      </c>
      <c r="G44" s="3">
        <v>5976</v>
      </c>
      <c r="H44" s="3">
        <v>14</v>
      </c>
      <c r="I44" s="3">
        <v>87</v>
      </c>
      <c r="J44" s="3">
        <v>144</v>
      </c>
      <c r="K44" s="3">
        <v>5975</v>
      </c>
      <c r="L44" s="3">
        <v>16</v>
      </c>
      <c r="M44" s="3">
        <v>96</v>
      </c>
      <c r="N44" s="9">
        <f t="shared" si="1"/>
        <v>426.85714285714283</v>
      </c>
      <c r="O44" s="9">
        <f t="shared" si="2"/>
        <v>373.4375</v>
      </c>
      <c r="P44" s="3">
        <f t="shared" si="11"/>
        <v>-1</v>
      </c>
      <c r="Q44" s="3">
        <f t="shared" si="12"/>
        <v>2</v>
      </c>
      <c r="R44" s="3">
        <f t="shared" si="13"/>
        <v>9</v>
      </c>
      <c r="S44" s="9">
        <f t="shared" si="6"/>
        <v>-53.419642857142833</v>
      </c>
      <c r="T44" s="9">
        <f t="shared" si="8"/>
        <v>-7.1428571428571425E-2</v>
      </c>
      <c r="U44" s="9">
        <f t="shared" si="9"/>
        <v>21.6875</v>
      </c>
      <c r="V44" s="4">
        <f t="shared" si="10"/>
        <v>0.10000000000000009</v>
      </c>
      <c r="W44" s="2">
        <f t="shared" si="7"/>
        <v>0</v>
      </c>
    </row>
    <row r="45" spans="1:23">
      <c r="A45">
        <v>42</v>
      </c>
      <c r="B45" s="4">
        <f t="shared" si="0"/>
        <v>33.837890625</v>
      </c>
      <c r="C45" s="4">
        <v>35.6</v>
      </c>
      <c r="D45" s="4">
        <v>1.7</v>
      </c>
      <c r="E45" s="4">
        <v>0.1</v>
      </c>
      <c r="F45" s="2">
        <v>0.68100000000000005</v>
      </c>
      <c r="G45" s="3">
        <v>5972</v>
      </c>
      <c r="H45" s="3">
        <v>15</v>
      </c>
      <c r="I45" s="3">
        <v>93</v>
      </c>
      <c r="J45" s="3">
        <v>163</v>
      </c>
      <c r="K45" s="3">
        <v>5975</v>
      </c>
      <c r="L45" s="3">
        <v>16</v>
      </c>
      <c r="M45" s="3">
        <v>96</v>
      </c>
      <c r="N45" s="9">
        <f t="shared" si="1"/>
        <v>398.13333333333333</v>
      </c>
      <c r="O45" s="9">
        <f t="shared" si="2"/>
        <v>373.4375</v>
      </c>
      <c r="P45" s="3">
        <f t="shared" si="11"/>
        <v>3</v>
      </c>
      <c r="Q45" s="3">
        <f t="shared" si="12"/>
        <v>1</v>
      </c>
      <c r="R45" s="3">
        <f t="shared" si="13"/>
        <v>3</v>
      </c>
      <c r="S45" s="9">
        <f t="shared" si="6"/>
        <v>-24.695833333333326</v>
      </c>
      <c r="T45" s="9">
        <f t="shared" si="8"/>
        <v>0.2</v>
      </c>
      <c r="U45" s="9">
        <f t="shared" si="9"/>
        <v>20.941176470588236</v>
      </c>
      <c r="V45" s="4">
        <f t="shared" si="10"/>
        <v>9.9999999999999867E-2</v>
      </c>
      <c r="W45" s="2">
        <f t="shared" si="7"/>
        <v>0</v>
      </c>
    </row>
    <row r="46" spans="1:23">
      <c r="A46">
        <v>43</v>
      </c>
      <c r="B46" s="4">
        <f t="shared" si="0"/>
        <v>34.6435546875</v>
      </c>
      <c r="C46" s="4">
        <v>36.299999999999997</v>
      </c>
      <c r="D46" s="4">
        <v>1.8</v>
      </c>
      <c r="E46" s="4">
        <v>0.1</v>
      </c>
      <c r="F46" s="2">
        <v>0.68200000000000005</v>
      </c>
      <c r="G46" s="3">
        <v>5972</v>
      </c>
      <c r="H46" s="3">
        <v>17</v>
      </c>
      <c r="I46" s="3">
        <v>102</v>
      </c>
      <c r="J46" s="3">
        <v>163</v>
      </c>
      <c r="K46" s="3">
        <v>5975</v>
      </c>
      <c r="L46" s="3">
        <v>18</v>
      </c>
      <c r="M46" s="3">
        <v>108</v>
      </c>
      <c r="N46" s="9">
        <f t="shared" si="1"/>
        <v>351.29411764705884</v>
      </c>
      <c r="O46" s="9">
        <f t="shared" si="2"/>
        <v>331.94444444444446</v>
      </c>
      <c r="P46" s="3">
        <f t="shared" si="11"/>
        <v>3</v>
      </c>
      <c r="Q46" s="3">
        <f t="shared" si="12"/>
        <v>1</v>
      </c>
      <c r="R46" s="3">
        <f t="shared" si="13"/>
        <v>6</v>
      </c>
      <c r="S46" s="9">
        <f t="shared" si="6"/>
        <v>-19.349673202614383</v>
      </c>
      <c r="T46" s="9">
        <f t="shared" si="8"/>
        <v>0.17647058823529413</v>
      </c>
      <c r="U46" s="9">
        <f t="shared" si="9"/>
        <v>20.166666666666664</v>
      </c>
      <c r="V46" s="4">
        <f t="shared" si="10"/>
        <v>0.10000000000000009</v>
      </c>
      <c r="W46" s="2">
        <f t="shared" si="7"/>
        <v>1.0000000000000009E-3</v>
      </c>
    </row>
    <row r="47" spans="1:23">
      <c r="A47">
        <v>44</v>
      </c>
      <c r="B47" s="4">
        <f t="shared" si="0"/>
        <v>35.44921875</v>
      </c>
      <c r="C47" s="4">
        <v>37.1</v>
      </c>
      <c r="D47" s="4">
        <v>1.9</v>
      </c>
      <c r="E47" s="4">
        <v>0.1</v>
      </c>
      <c r="F47" s="2">
        <v>0.68300000000000005</v>
      </c>
      <c r="G47" s="3">
        <v>5972</v>
      </c>
      <c r="H47" s="3">
        <v>18</v>
      </c>
      <c r="I47" s="3">
        <v>106</v>
      </c>
      <c r="J47" s="3">
        <v>175</v>
      </c>
      <c r="K47" s="3">
        <v>5975</v>
      </c>
      <c r="L47" s="3">
        <v>18</v>
      </c>
      <c r="M47" s="3">
        <v>108</v>
      </c>
      <c r="N47" s="9">
        <f t="shared" si="1"/>
        <v>331.77777777777777</v>
      </c>
      <c r="O47" s="9">
        <f t="shared" si="2"/>
        <v>331.94444444444446</v>
      </c>
      <c r="P47" s="3">
        <f t="shared" si="11"/>
        <v>3</v>
      </c>
      <c r="Q47" s="3">
        <f t="shared" si="12"/>
        <v>0</v>
      </c>
      <c r="R47" s="3">
        <f t="shared" si="13"/>
        <v>2</v>
      </c>
      <c r="S47" s="9">
        <f t="shared" si="6"/>
        <v>0.16666666666668561</v>
      </c>
      <c r="T47" s="9">
        <f t="shared" si="8"/>
        <v>0.16666666666666666</v>
      </c>
      <c r="U47" s="9">
        <f t="shared" si="9"/>
        <v>19.526315789473685</v>
      </c>
      <c r="V47" s="4">
        <f t="shared" si="10"/>
        <v>9.9999999999999867E-2</v>
      </c>
      <c r="W47" s="2">
        <f t="shared" si="7"/>
        <v>1.0000000000000009E-3</v>
      </c>
    </row>
    <row r="48" spans="1:23">
      <c r="A48">
        <v>45</v>
      </c>
      <c r="B48" s="4">
        <f t="shared" si="0"/>
        <v>36.2548828125</v>
      </c>
      <c r="C48" s="4">
        <v>37.9</v>
      </c>
      <c r="D48" s="4">
        <v>2</v>
      </c>
      <c r="E48" s="4">
        <v>0.1</v>
      </c>
      <c r="F48" s="2">
        <v>0.68400000000000005</v>
      </c>
      <c r="G48" s="3">
        <v>5972</v>
      </c>
      <c r="H48" s="3">
        <v>18</v>
      </c>
      <c r="I48" s="3">
        <v>112</v>
      </c>
      <c r="J48" s="3">
        <v>184</v>
      </c>
      <c r="K48" s="3">
        <v>5975</v>
      </c>
      <c r="L48" s="3">
        <v>19</v>
      </c>
      <c r="M48" s="3">
        <v>112</v>
      </c>
      <c r="N48" s="9">
        <f t="shared" si="1"/>
        <v>331.77777777777777</v>
      </c>
      <c r="O48" s="9">
        <f t="shared" si="2"/>
        <v>314.4736842105263</v>
      </c>
      <c r="P48" s="3">
        <f t="shared" si="11"/>
        <v>3</v>
      </c>
      <c r="Q48" s="3">
        <f t="shared" si="12"/>
        <v>1</v>
      </c>
      <c r="R48" s="3">
        <f t="shared" si="13"/>
        <v>0</v>
      </c>
      <c r="S48" s="9">
        <f t="shared" si="6"/>
        <v>-17.304093567251471</v>
      </c>
      <c r="T48" s="9">
        <f t="shared" si="8"/>
        <v>0.16666666666666666</v>
      </c>
      <c r="U48" s="9">
        <f t="shared" si="9"/>
        <v>18.95</v>
      </c>
      <c r="V48" s="4">
        <f t="shared" si="10"/>
        <v>0.10000000000000009</v>
      </c>
      <c r="W48" s="2">
        <f t="shared" si="7"/>
        <v>1.0000000000000009E-3</v>
      </c>
    </row>
    <row r="49" spans="1:23">
      <c r="A49">
        <v>46</v>
      </c>
      <c r="B49" s="4">
        <f t="shared" si="0"/>
        <v>37.060546875</v>
      </c>
      <c r="C49" s="4">
        <v>38.799999999999997</v>
      </c>
      <c r="D49" s="4">
        <v>2.1</v>
      </c>
      <c r="E49" s="4">
        <v>0.1</v>
      </c>
      <c r="F49" s="2">
        <v>0.68600000000000005</v>
      </c>
      <c r="G49" s="3">
        <v>5972</v>
      </c>
      <c r="H49" s="3">
        <v>19</v>
      </c>
      <c r="I49" s="3">
        <v>118</v>
      </c>
      <c r="J49" s="3">
        <v>190</v>
      </c>
      <c r="K49" s="3">
        <v>5975</v>
      </c>
      <c r="L49" s="3">
        <v>20</v>
      </c>
      <c r="M49" s="3">
        <v>119</v>
      </c>
      <c r="N49" s="9">
        <f t="shared" si="1"/>
        <v>314.31578947368422</v>
      </c>
      <c r="O49" s="9">
        <f t="shared" si="2"/>
        <v>298.75</v>
      </c>
      <c r="P49" s="3">
        <f t="shared" si="11"/>
        <v>3</v>
      </c>
      <c r="Q49" s="3">
        <f t="shared" si="12"/>
        <v>1</v>
      </c>
      <c r="R49" s="3">
        <f t="shared" si="13"/>
        <v>1</v>
      </c>
      <c r="S49" s="9">
        <f t="shared" si="6"/>
        <v>-15.56578947368422</v>
      </c>
      <c r="T49" s="9">
        <f t="shared" si="8"/>
        <v>0.15789473684210525</v>
      </c>
      <c r="U49" s="9">
        <f t="shared" si="9"/>
        <v>18.476190476190474</v>
      </c>
      <c r="V49" s="4">
        <f t="shared" si="10"/>
        <v>0.10000000000000009</v>
      </c>
      <c r="W49" s="2">
        <f t="shared" si="7"/>
        <v>2.0000000000000018E-3</v>
      </c>
    </row>
    <row r="50" spans="1:23">
      <c r="A50">
        <v>47</v>
      </c>
      <c r="B50" s="4">
        <f t="shared" si="0"/>
        <v>37.8662109375</v>
      </c>
      <c r="C50" s="4">
        <v>39.6</v>
      </c>
      <c r="D50" s="4">
        <v>2.2000000000000002</v>
      </c>
      <c r="E50" s="4">
        <v>0.1</v>
      </c>
      <c r="F50" s="2">
        <v>0.68700000000000006</v>
      </c>
      <c r="G50" s="3">
        <v>5972</v>
      </c>
      <c r="H50" s="3">
        <v>20</v>
      </c>
      <c r="I50" s="3">
        <v>122</v>
      </c>
      <c r="J50" s="3">
        <v>205</v>
      </c>
      <c r="K50" s="3">
        <v>5975</v>
      </c>
      <c r="L50" s="3">
        <v>21</v>
      </c>
      <c r="M50" s="3">
        <v>125</v>
      </c>
      <c r="N50" s="9">
        <f t="shared" si="1"/>
        <v>298.60000000000002</v>
      </c>
      <c r="O50" s="9">
        <f t="shared" si="2"/>
        <v>284.52380952380952</v>
      </c>
      <c r="P50" s="3">
        <f t="shared" si="11"/>
        <v>3</v>
      </c>
      <c r="Q50" s="3">
        <f t="shared" si="12"/>
        <v>1</v>
      </c>
      <c r="R50" s="3">
        <f t="shared" si="13"/>
        <v>3</v>
      </c>
      <c r="S50" s="9">
        <f t="shared" si="6"/>
        <v>-14.076190476190504</v>
      </c>
      <c r="T50" s="9">
        <f t="shared" si="8"/>
        <v>0.15</v>
      </c>
      <c r="U50" s="9">
        <f t="shared" si="9"/>
        <v>18</v>
      </c>
      <c r="V50" s="4">
        <f t="shared" si="10"/>
        <v>0.10000000000000009</v>
      </c>
      <c r="W50" s="2">
        <f t="shared" si="7"/>
        <v>1.0000000000000009E-3</v>
      </c>
    </row>
    <row r="51" spans="1:23">
      <c r="A51">
        <v>48</v>
      </c>
      <c r="B51" s="4">
        <f t="shared" si="0"/>
        <v>38.671875</v>
      </c>
      <c r="C51" s="4">
        <v>40.4</v>
      </c>
      <c r="D51" s="4">
        <v>2.2999999999999998</v>
      </c>
      <c r="E51" s="4">
        <v>0.1</v>
      </c>
      <c r="F51" s="2">
        <v>0.68899999999999995</v>
      </c>
      <c r="G51" s="3">
        <v>5972</v>
      </c>
      <c r="H51" s="3">
        <v>21</v>
      </c>
      <c r="I51" s="3">
        <v>128</v>
      </c>
      <c r="J51" s="3">
        <v>216</v>
      </c>
      <c r="K51" s="3">
        <v>5975</v>
      </c>
      <c r="L51" s="3">
        <v>22</v>
      </c>
      <c r="M51" s="3">
        <v>131</v>
      </c>
      <c r="N51" s="9">
        <f t="shared" si="1"/>
        <v>284.38095238095241</v>
      </c>
      <c r="O51" s="9">
        <f t="shared" si="2"/>
        <v>271.59090909090907</v>
      </c>
      <c r="P51" s="3">
        <f t="shared" si="11"/>
        <v>3</v>
      </c>
      <c r="Q51" s="3">
        <f t="shared" si="12"/>
        <v>1</v>
      </c>
      <c r="R51" s="3">
        <f t="shared" si="13"/>
        <v>3</v>
      </c>
      <c r="S51" s="9">
        <f t="shared" si="6"/>
        <v>-12.790043290043343</v>
      </c>
      <c r="T51" s="9">
        <f t="shared" si="8"/>
        <v>0.14285714285714285</v>
      </c>
      <c r="U51" s="9">
        <f t="shared" si="9"/>
        <v>17.565217391304348</v>
      </c>
      <c r="V51" s="4">
        <f t="shared" si="10"/>
        <v>9.9999999999999645E-2</v>
      </c>
      <c r="W51" s="2">
        <f t="shared" si="7"/>
        <v>1.9999999999998908E-3</v>
      </c>
    </row>
    <row r="52" spans="1:23">
      <c r="A52">
        <v>49</v>
      </c>
      <c r="B52" s="4">
        <f t="shared" si="0"/>
        <v>39.4775390625</v>
      </c>
      <c r="C52" s="4">
        <v>41.2</v>
      </c>
      <c r="D52" s="4">
        <v>2.4</v>
      </c>
      <c r="E52" s="4">
        <v>0.1</v>
      </c>
      <c r="F52" s="2">
        <v>0.69299999999999995</v>
      </c>
      <c r="G52" s="3">
        <v>5972</v>
      </c>
      <c r="H52" s="3">
        <v>22</v>
      </c>
      <c r="I52" s="3">
        <v>135</v>
      </c>
      <c r="J52" s="3">
        <v>222</v>
      </c>
      <c r="K52" s="3">
        <v>5975</v>
      </c>
      <c r="L52" s="3">
        <v>23</v>
      </c>
      <c r="M52" s="3">
        <v>137</v>
      </c>
      <c r="N52" s="9">
        <f t="shared" si="1"/>
        <v>271.45454545454544</v>
      </c>
      <c r="O52" s="9">
        <f t="shared" si="2"/>
        <v>259.78260869565219</v>
      </c>
      <c r="P52" s="3">
        <f t="shared" si="11"/>
        <v>3</v>
      </c>
      <c r="Q52" s="3">
        <f t="shared" si="12"/>
        <v>1</v>
      </c>
      <c r="R52" s="3">
        <f t="shared" si="13"/>
        <v>2</v>
      </c>
      <c r="S52" s="9">
        <f t="shared" si="6"/>
        <v>-11.671936758893253</v>
      </c>
      <c r="T52" s="9">
        <f t="shared" si="8"/>
        <v>0.13636363636363635</v>
      </c>
      <c r="U52" s="9">
        <f t="shared" si="9"/>
        <v>17.166666666666668</v>
      </c>
      <c r="V52" s="4">
        <f t="shared" si="10"/>
        <v>0.10000000000000009</v>
      </c>
      <c r="W52" s="2">
        <f t="shared" si="7"/>
        <v>4.0000000000000036E-3</v>
      </c>
    </row>
    <row r="53" spans="1:23">
      <c r="A53">
        <v>50</v>
      </c>
      <c r="B53" s="4">
        <f t="shared" si="0"/>
        <v>40.283203125</v>
      </c>
      <c r="C53" s="4">
        <v>42</v>
      </c>
      <c r="D53" s="4">
        <v>2.5</v>
      </c>
      <c r="E53" s="4">
        <v>0.1</v>
      </c>
      <c r="F53" s="2">
        <v>0.69799999999999995</v>
      </c>
      <c r="G53" s="3">
        <v>5972</v>
      </c>
      <c r="H53" s="3">
        <v>24</v>
      </c>
      <c r="I53" s="3">
        <v>144</v>
      </c>
      <c r="J53" s="3">
        <v>249</v>
      </c>
      <c r="K53" s="3">
        <v>5975</v>
      </c>
      <c r="L53" s="3">
        <v>24</v>
      </c>
      <c r="M53" s="3">
        <v>143</v>
      </c>
      <c r="N53" s="9">
        <f t="shared" si="1"/>
        <v>248.83333333333334</v>
      </c>
      <c r="O53" s="9">
        <f t="shared" si="2"/>
        <v>248.95833333333334</v>
      </c>
      <c r="P53" s="3">
        <f t="shared" si="11"/>
        <v>3</v>
      </c>
      <c r="Q53" s="3">
        <f t="shared" si="12"/>
        <v>0</v>
      </c>
      <c r="R53" s="3">
        <f t="shared" si="13"/>
        <v>-1</v>
      </c>
      <c r="S53" s="9">
        <f t="shared" si="6"/>
        <v>0.125</v>
      </c>
      <c r="T53" s="9">
        <f t="shared" si="8"/>
        <v>0.125</v>
      </c>
      <c r="U53" s="9">
        <f t="shared" si="9"/>
        <v>16.8</v>
      </c>
      <c r="V53" s="4">
        <f t="shared" si="10"/>
        <v>0.10000000000000009</v>
      </c>
      <c r="W53" s="2">
        <f t="shared" si="7"/>
        <v>5.0000000000000044E-3</v>
      </c>
    </row>
    <row r="54" spans="1:23">
      <c r="A54">
        <v>51</v>
      </c>
      <c r="B54" s="4">
        <f t="shared" si="0"/>
        <v>41.0888671875</v>
      </c>
      <c r="C54" s="4">
        <v>42.8</v>
      </c>
      <c r="D54" s="4">
        <v>2.6</v>
      </c>
      <c r="E54" s="4">
        <v>0.1</v>
      </c>
      <c r="F54" s="2">
        <v>0.70499999999999996</v>
      </c>
      <c r="G54" s="3">
        <v>5968</v>
      </c>
      <c r="H54" s="3">
        <v>24</v>
      </c>
      <c r="I54" s="3">
        <v>147</v>
      </c>
      <c r="J54" s="3">
        <v>257</v>
      </c>
      <c r="K54" s="3">
        <v>5975</v>
      </c>
      <c r="L54" s="3">
        <v>26</v>
      </c>
      <c r="M54" s="3">
        <v>155</v>
      </c>
      <c r="N54" s="9">
        <f t="shared" si="1"/>
        <v>248.66666666666666</v>
      </c>
      <c r="O54" s="9">
        <f t="shared" si="2"/>
        <v>229.80769230769232</v>
      </c>
      <c r="P54" s="3">
        <f t="shared" si="11"/>
        <v>7</v>
      </c>
      <c r="Q54" s="3">
        <f t="shared" si="12"/>
        <v>2</v>
      </c>
      <c r="R54" s="3">
        <f t="shared" si="13"/>
        <v>8</v>
      </c>
      <c r="S54" s="9">
        <f t="shared" si="6"/>
        <v>-18.858974358974336</v>
      </c>
      <c r="T54" s="9">
        <f t="shared" si="8"/>
        <v>0.29166666666666669</v>
      </c>
      <c r="U54" s="9">
        <f t="shared" si="9"/>
        <v>16.46153846153846</v>
      </c>
      <c r="V54" s="4">
        <f t="shared" si="10"/>
        <v>0.10000000000000009</v>
      </c>
      <c r="W54" s="2">
        <f t="shared" si="7"/>
        <v>7.0000000000000062E-3</v>
      </c>
    </row>
    <row r="55" spans="1:23">
      <c r="A55">
        <v>52</v>
      </c>
      <c r="B55" s="4">
        <f t="shared" si="0"/>
        <v>41.89453125</v>
      </c>
      <c r="C55" s="4">
        <v>43.6</v>
      </c>
      <c r="D55" s="4">
        <v>2.7</v>
      </c>
      <c r="E55" s="4">
        <v>0.1</v>
      </c>
      <c r="F55" s="2">
        <v>0.71099999999999997</v>
      </c>
      <c r="G55" s="3">
        <v>5968</v>
      </c>
      <c r="H55" s="3">
        <v>26</v>
      </c>
      <c r="I55" s="3">
        <v>156</v>
      </c>
      <c r="J55" s="3">
        <v>265</v>
      </c>
      <c r="K55" s="3">
        <v>5975</v>
      </c>
      <c r="L55" s="3">
        <v>27</v>
      </c>
      <c r="M55" s="3">
        <v>161</v>
      </c>
      <c r="N55" s="9">
        <f t="shared" si="1"/>
        <v>229.53846153846155</v>
      </c>
      <c r="O55" s="9">
        <f t="shared" si="2"/>
        <v>221.2962962962963</v>
      </c>
      <c r="P55" s="3">
        <f t="shared" si="11"/>
        <v>7</v>
      </c>
      <c r="Q55" s="3">
        <f t="shared" si="12"/>
        <v>1</v>
      </c>
      <c r="R55" s="3">
        <f t="shared" si="13"/>
        <v>5</v>
      </c>
      <c r="S55" s="9">
        <f t="shared" si="6"/>
        <v>-8.2421652421652425</v>
      </c>
      <c r="T55" s="9">
        <f t="shared" si="8"/>
        <v>0.26923076923076922</v>
      </c>
      <c r="U55" s="9">
        <f t="shared" si="9"/>
        <v>16.148148148148149</v>
      </c>
      <c r="V55" s="4">
        <f t="shared" si="10"/>
        <v>0.10000000000000009</v>
      </c>
      <c r="W55" s="2">
        <f t="shared" si="7"/>
        <v>6.0000000000000053E-3</v>
      </c>
    </row>
    <row r="56" spans="1:23">
      <c r="A56">
        <v>53</v>
      </c>
      <c r="B56" s="4">
        <f t="shared" si="0"/>
        <v>42.7001953125</v>
      </c>
      <c r="C56" s="4">
        <v>44.4</v>
      </c>
      <c r="D56" s="4">
        <v>2.8</v>
      </c>
      <c r="E56" s="4">
        <v>0.1</v>
      </c>
      <c r="F56" s="2">
        <v>0.71799999999999997</v>
      </c>
      <c r="G56" s="3">
        <v>5968</v>
      </c>
      <c r="H56" s="3">
        <v>27</v>
      </c>
      <c r="I56" s="3">
        <v>163</v>
      </c>
      <c r="J56" s="3">
        <v>275</v>
      </c>
      <c r="K56" s="3">
        <v>5975</v>
      </c>
      <c r="L56" s="3">
        <v>28</v>
      </c>
      <c r="M56" s="3">
        <v>167</v>
      </c>
      <c r="N56" s="9">
        <f t="shared" si="1"/>
        <v>221.03703703703704</v>
      </c>
      <c r="O56" s="9">
        <f t="shared" si="2"/>
        <v>213.39285714285714</v>
      </c>
      <c r="P56" s="3">
        <f t="shared" si="11"/>
        <v>7</v>
      </c>
      <c r="Q56" s="3">
        <f t="shared" si="12"/>
        <v>1</v>
      </c>
      <c r="R56" s="3">
        <f t="shared" si="13"/>
        <v>4</v>
      </c>
      <c r="S56" s="9">
        <f t="shared" si="6"/>
        <v>-7.6441798941798993</v>
      </c>
      <c r="T56" s="9">
        <f t="shared" si="8"/>
        <v>0.25925925925925924</v>
      </c>
      <c r="U56" s="9">
        <f t="shared" si="9"/>
        <v>15.857142857142858</v>
      </c>
      <c r="V56" s="4">
        <f t="shared" si="10"/>
        <v>9.9999999999999645E-2</v>
      </c>
      <c r="W56" s="2">
        <f t="shared" si="7"/>
        <v>7.0000000000000062E-3</v>
      </c>
    </row>
    <row r="57" spans="1:23">
      <c r="A57">
        <v>54</v>
      </c>
      <c r="B57" s="4">
        <f t="shared" si="0"/>
        <v>43.505859375</v>
      </c>
      <c r="C57" s="4">
        <v>45.2</v>
      </c>
      <c r="D57" s="4">
        <v>3</v>
      </c>
      <c r="E57" s="4">
        <v>0.1</v>
      </c>
      <c r="F57" s="2">
        <v>0.72399999999999998</v>
      </c>
      <c r="G57" s="3">
        <v>5968</v>
      </c>
      <c r="H57" s="3">
        <v>28</v>
      </c>
      <c r="I57" s="3">
        <v>168</v>
      </c>
      <c r="J57" s="3">
        <v>285</v>
      </c>
      <c r="K57" s="3">
        <v>5975</v>
      </c>
      <c r="L57" s="3">
        <v>29</v>
      </c>
      <c r="M57" s="3">
        <v>173</v>
      </c>
      <c r="N57" s="9">
        <f t="shared" si="1"/>
        <v>213.14285714285714</v>
      </c>
      <c r="O57" s="9">
        <f t="shared" si="2"/>
        <v>206.0344827586207</v>
      </c>
      <c r="P57" s="3">
        <f t="shared" si="11"/>
        <v>7</v>
      </c>
      <c r="Q57" s="3">
        <f t="shared" si="12"/>
        <v>1</v>
      </c>
      <c r="R57" s="3">
        <f t="shared" si="13"/>
        <v>5</v>
      </c>
      <c r="S57" s="9">
        <f t="shared" si="6"/>
        <v>-7.1083743842364413</v>
      </c>
      <c r="T57" s="9">
        <f t="shared" si="8"/>
        <v>0.25</v>
      </c>
      <c r="U57" s="9">
        <f t="shared" si="9"/>
        <v>15.066666666666668</v>
      </c>
      <c r="V57" s="4">
        <f t="shared" si="10"/>
        <v>0.20000000000000018</v>
      </c>
      <c r="W57" s="2">
        <f t="shared" si="7"/>
        <v>6.0000000000000053E-3</v>
      </c>
    </row>
    <row r="58" spans="1:23">
      <c r="A58">
        <v>55</v>
      </c>
      <c r="B58" s="4">
        <f t="shared" si="0"/>
        <v>44.3115234375</v>
      </c>
      <c r="C58" s="4">
        <v>46.1</v>
      </c>
      <c r="D58" s="4">
        <v>3.1</v>
      </c>
      <c r="E58" s="4">
        <v>0.1</v>
      </c>
      <c r="F58" s="2">
        <v>0.73</v>
      </c>
      <c r="G58" s="3">
        <v>5968</v>
      </c>
      <c r="H58" s="3">
        <v>29</v>
      </c>
      <c r="I58" s="3">
        <v>178</v>
      </c>
      <c r="J58" s="3">
        <v>294</v>
      </c>
      <c r="K58" s="3">
        <v>5975</v>
      </c>
      <c r="L58" s="3">
        <v>30</v>
      </c>
      <c r="M58">
        <v>179</v>
      </c>
      <c r="N58" s="9">
        <f t="shared" si="1"/>
        <v>205.79310344827587</v>
      </c>
      <c r="O58" s="9">
        <f t="shared" si="2"/>
        <v>199.16666666666666</v>
      </c>
      <c r="P58" s="3">
        <f t="shared" si="11"/>
        <v>7</v>
      </c>
      <c r="Q58" s="3">
        <f t="shared" si="12"/>
        <v>1</v>
      </c>
      <c r="R58" s="3">
        <f t="shared" si="13"/>
        <v>1</v>
      </c>
      <c r="S58" s="9">
        <f t="shared" si="6"/>
        <v>-6.6264367816092147</v>
      </c>
      <c r="T58" s="9">
        <f t="shared" si="8"/>
        <v>0.2413793103448276</v>
      </c>
      <c r="U58" s="9">
        <f t="shared" si="9"/>
        <v>14.870967741935484</v>
      </c>
      <c r="V58" s="4">
        <f t="shared" si="10"/>
        <v>0.10000000000000009</v>
      </c>
      <c r="W58" s="2">
        <f t="shared" si="7"/>
        <v>6.0000000000000053E-3</v>
      </c>
    </row>
    <row r="59" spans="1:23">
      <c r="A59">
        <v>56</v>
      </c>
      <c r="B59" s="4">
        <f t="shared" si="0"/>
        <v>45.1171875</v>
      </c>
      <c r="C59" s="4">
        <v>46.8</v>
      </c>
      <c r="D59" s="4">
        <v>3.2</v>
      </c>
      <c r="E59" s="4">
        <v>0.1</v>
      </c>
      <c r="F59" s="2">
        <v>0.73499999999999999</v>
      </c>
      <c r="G59" s="3">
        <v>5968</v>
      </c>
      <c r="H59" s="3">
        <v>31</v>
      </c>
      <c r="I59" s="3">
        <v>185</v>
      </c>
      <c r="J59" s="3">
        <v>310</v>
      </c>
      <c r="K59" s="3">
        <v>5975</v>
      </c>
      <c r="L59" s="3">
        <v>31</v>
      </c>
      <c r="M59" s="3">
        <v>185</v>
      </c>
      <c r="N59" s="9">
        <f t="shared" si="1"/>
        <v>192.51612903225808</v>
      </c>
      <c r="O59" s="9">
        <f t="shared" si="2"/>
        <v>192.74193548387098</v>
      </c>
      <c r="P59" s="3">
        <f t="shared" si="11"/>
        <v>7</v>
      </c>
      <c r="Q59" s="3">
        <f t="shared" si="12"/>
        <v>0</v>
      </c>
      <c r="R59" s="3">
        <f t="shared" si="13"/>
        <v>0</v>
      </c>
      <c r="S59" s="9">
        <f t="shared" si="6"/>
        <v>0.22580645161289681</v>
      </c>
      <c r="T59" s="9">
        <f t="shared" si="8"/>
        <v>0.22580645161290322</v>
      </c>
      <c r="U59" s="9">
        <f t="shared" si="9"/>
        <v>14.624999999999998</v>
      </c>
      <c r="V59" s="4">
        <f t="shared" si="10"/>
        <v>0.10000000000000009</v>
      </c>
      <c r="W59" s="2">
        <f t="shared" si="7"/>
        <v>5.0000000000000044E-3</v>
      </c>
    </row>
    <row r="60" spans="1:23">
      <c r="A60">
        <v>57</v>
      </c>
      <c r="B60" s="4">
        <f t="shared" si="0"/>
        <v>45.9228515625</v>
      </c>
      <c r="C60" s="4">
        <v>47.7</v>
      </c>
      <c r="D60" s="4">
        <v>3.3</v>
      </c>
      <c r="E60" s="4">
        <v>0.1</v>
      </c>
      <c r="F60" s="2">
        <v>0.74099999999999999</v>
      </c>
      <c r="G60" s="3">
        <v>5964</v>
      </c>
      <c r="H60" s="3">
        <v>31</v>
      </c>
      <c r="I60" s="3">
        <v>187</v>
      </c>
      <c r="J60" s="3">
        <v>326</v>
      </c>
      <c r="K60" s="3">
        <v>5975</v>
      </c>
      <c r="L60" s="3">
        <v>33</v>
      </c>
      <c r="M60" s="3">
        <v>197</v>
      </c>
      <c r="N60" s="9">
        <f t="shared" si="1"/>
        <v>192.38709677419354</v>
      </c>
      <c r="O60" s="9">
        <f t="shared" si="2"/>
        <v>181.06060606060606</v>
      </c>
      <c r="P60" s="3">
        <f t="shared" si="11"/>
        <v>11</v>
      </c>
      <c r="Q60" s="3">
        <f t="shared" si="12"/>
        <v>2</v>
      </c>
      <c r="R60" s="3">
        <f t="shared" si="13"/>
        <v>10</v>
      </c>
      <c r="S60" s="9">
        <f t="shared" si="6"/>
        <v>-11.326490713587475</v>
      </c>
      <c r="T60" s="9">
        <f t="shared" si="8"/>
        <v>0.35483870967741937</v>
      </c>
      <c r="U60" s="9">
        <f t="shared" si="9"/>
        <v>14.454545454545457</v>
      </c>
      <c r="V60" s="4">
        <f t="shared" si="10"/>
        <v>9.9999999999999645E-2</v>
      </c>
      <c r="W60" s="2">
        <f t="shared" si="7"/>
        <v>6.0000000000000053E-3</v>
      </c>
    </row>
    <row r="61" spans="1:23">
      <c r="A61">
        <v>58</v>
      </c>
      <c r="B61" s="4">
        <f t="shared" si="0"/>
        <v>46.728515625</v>
      </c>
      <c r="C61" s="4">
        <v>48.4</v>
      </c>
      <c r="D61" s="4">
        <v>3.5</v>
      </c>
      <c r="E61" s="4">
        <v>0.1</v>
      </c>
      <c r="F61" s="2">
        <v>0.746</v>
      </c>
      <c r="G61" s="3">
        <v>5964</v>
      </c>
      <c r="H61" s="3">
        <v>32</v>
      </c>
      <c r="I61" s="3">
        <v>196</v>
      </c>
      <c r="J61" s="3">
        <v>327</v>
      </c>
      <c r="K61" s="3">
        <v>5975</v>
      </c>
      <c r="L61" s="3">
        <v>34</v>
      </c>
      <c r="M61" s="3">
        <v>203</v>
      </c>
      <c r="N61" s="9">
        <f t="shared" si="1"/>
        <v>186.375</v>
      </c>
      <c r="O61" s="9">
        <f t="shared" si="2"/>
        <v>175.73529411764707</v>
      </c>
      <c r="P61" s="3">
        <f t="shared" si="11"/>
        <v>11</v>
      </c>
      <c r="Q61" s="3">
        <f t="shared" si="12"/>
        <v>2</v>
      </c>
      <c r="R61" s="3">
        <f t="shared" si="13"/>
        <v>7</v>
      </c>
      <c r="S61" s="9">
        <f t="shared" si="6"/>
        <v>-10.639705882352928</v>
      </c>
      <c r="T61" s="9">
        <f t="shared" si="8"/>
        <v>0.34375</v>
      </c>
      <c r="U61" s="9">
        <f t="shared" si="9"/>
        <v>13.828571428571427</v>
      </c>
      <c r="V61" s="4">
        <f t="shared" si="10"/>
        <v>0.20000000000000018</v>
      </c>
      <c r="W61" s="2">
        <f t="shared" si="7"/>
        <v>5.0000000000000044E-3</v>
      </c>
    </row>
    <row r="62" spans="1:23">
      <c r="A62">
        <v>59</v>
      </c>
      <c r="B62" s="4">
        <f t="shared" si="0"/>
        <v>47.5341796875</v>
      </c>
      <c r="C62" s="4">
        <v>49.3</v>
      </c>
      <c r="D62" s="4">
        <v>3.6</v>
      </c>
      <c r="E62" s="4">
        <v>0.1</v>
      </c>
      <c r="F62" s="2">
        <v>0.75</v>
      </c>
      <c r="G62" s="3">
        <v>5964</v>
      </c>
      <c r="H62" s="3">
        <v>34</v>
      </c>
      <c r="I62" s="3">
        <v>206</v>
      </c>
      <c r="J62" s="3">
        <v>337</v>
      </c>
      <c r="K62" s="3">
        <v>5975</v>
      </c>
      <c r="L62" s="3">
        <v>35</v>
      </c>
      <c r="M62" s="3">
        <v>209</v>
      </c>
      <c r="N62" s="9">
        <f t="shared" si="1"/>
        <v>175.41176470588235</v>
      </c>
      <c r="O62" s="9">
        <f t="shared" si="2"/>
        <v>170.71428571428572</v>
      </c>
      <c r="P62" s="3">
        <f t="shared" si="11"/>
        <v>11</v>
      </c>
      <c r="Q62" s="3">
        <f t="shared" si="12"/>
        <v>1</v>
      </c>
      <c r="R62" s="3">
        <f t="shared" si="13"/>
        <v>3</v>
      </c>
      <c r="S62" s="9">
        <f t="shared" si="6"/>
        <v>-4.6974789915966255</v>
      </c>
      <c r="T62" s="9">
        <f t="shared" si="8"/>
        <v>0.3235294117647059</v>
      </c>
      <c r="U62" s="9">
        <f t="shared" si="9"/>
        <v>13.694444444444443</v>
      </c>
      <c r="V62" s="4">
        <f t="shared" si="10"/>
        <v>0.10000000000000009</v>
      </c>
      <c r="W62" s="2">
        <f t="shared" si="7"/>
        <v>4.0000000000000036E-3</v>
      </c>
    </row>
    <row r="63" spans="1:23">
      <c r="A63">
        <v>60</v>
      </c>
      <c r="B63" s="4">
        <f t="shared" si="0"/>
        <v>48.33984375</v>
      </c>
      <c r="C63" s="4">
        <v>50.1</v>
      </c>
      <c r="D63" s="4">
        <v>3.7</v>
      </c>
      <c r="E63" s="4">
        <v>0.1</v>
      </c>
      <c r="F63" s="2">
        <v>0.755</v>
      </c>
      <c r="G63" s="3">
        <v>5964</v>
      </c>
      <c r="H63" s="3">
        <v>35</v>
      </c>
      <c r="I63" s="3">
        <v>212</v>
      </c>
      <c r="J63" s="3">
        <v>354</v>
      </c>
      <c r="K63" s="3">
        <v>5975</v>
      </c>
      <c r="L63" s="3">
        <v>36</v>
      </c>
      <c r="M63" s="3">
        <v>215</v>
      </c>
      <c r="N63" s="9">
        <f t="shared" si="1"/>
        <v>170.4</v>
      </c>
      <c r="O63" s="9">
        <f t="shared" si="2"/>
        <v>165.97222222222223</v>
      </c>
      <c r="P63" s="3">
        <f t="shared" si="11"/>
        <v>11</v>
      </c>
      <c r="Q63" s="3">
        <f t="shared" si="12"/>
        <v>1</v>
      </c>
      <c r="R63" s="3">
        <f t="shared" si="13"/>
        <v>3</v>
      </c>
      <c r="S63" s="9">
        <f t="shared" si="6"/>
        <v>-4.4277777777777771</v>
      </c>
      <c r="T63" s="9">
        <f t="shared" si="8"/>
        <v>0.31428571428571428</v>
      </c>
      <c r="U63" s="9">
        <f t="shared" si="9"/>
        <v>13.54054054054054</v>
      </c>
      <c r="V63" s="4">
        <f t="shared" si="10"/>
        <v>0.10000000000000009</v>
      </c>
      <c r="W63" s="2">
        <f t="shared" si="7"/>
        <v>5.0000000000000044E-3</v>
      </c>
    </row>
    <row r="64" spans="1:23">
      <c r="A64">
        <v>61</v>
      </c>
      <c r="B64" s="4">
        <f t="shared" si="0"/>
        <v>49.1455078125</v>
      </c>
      <c r="C64" s="4">
        <v>50.9</v>
      </c>
      <c r="D64" s="4">
        <v>3.8</v>
      </c>
      <c r="E64" s="4">
        <v>0.1</v>
      </c>
      <c r="F64" s="2">
        <v>0.76</v>
      </c>
      <c r="G64" s="3">
        <v>5964</v>
      </c>
      <c r="H64" s="3">
        <v>36</v>
      </c>
      <c r="I64" s="3">
        <v>216</v>
      </c>
      <c r="J64" s="3">
        <v>365</v>
      </c>
      <c r="K64" s="3">
        <v>5975</v>
      </c>
      <c r="L64" s="3">
        <v>37</v>
      </c>
      <c r="M64" s="3">
        <v>221</v>
      </c>
      <c r="N64" s="9">
        <f t="shared" si="1"/>
        <v>165.66666666666666</v>
      </c>
      <c r="O64" s="9">
        <f t="shared" si="2"/>
        <v>161.48648648648648</v>
      </c>
      <c r="P64" s="3">
        <f t="shared" si="11"/>
        <v>11</v>
      </c>
      <c r="Q64" s="3">
        <f t="shared" si="12"/>
        <v>1</v>
      </c>
      <c r="R64" s="3">
        <f t="shared" si="13"/>
        <v>5</v>
      </c>
      <c r="S64" s="9">
        <f t="shared" si="6"/>
        <v>-4.180180180180173</v>
      </c>
      <c r="T64" s="9">
        <f t="shared" si="8"/>
        <v>0.30555555555555558</v>
      </c>
      <c r="U64" s="9">
        <f t="shared" si="9"/>
        <v>13.394736842105264</v>
      </c>
      <c r="V64" s="4">
        <f t="shared" si="10"/>
        <v>9.9999999999999645E-2</v>
      </c>
      <c r="W64" s="2">
        <f t="shared" si="7"/>
        <v>5.0000000000000044E-3</v>
      </c>
    </row>
    <row r="65" spans="1:23">
      <c r="A65">
        <v>62</v>
      </c>
      <c r="B65" s="4">
        <f t="shared" si="0"/>
        <v>49.951171875</v>
      </c>
      <c r="C65" s="4">
        <v>51.7</v>
      </c>
      <c r="D65" s="4">
        <v>4</v>
      </c>
      <c r="E65" s="4">
        <v>0.1</v>
      </c>
      <c r="F65" s="2">
        <v>0.76400000000000001</v>
      </c>
      <c r="G65" s="3">
        <v>5964</v>
      </c>
      <c r="H65" s="3">
        <v>38</v>
      </c>
      <c r="I65" s="3">
        <v>228</v>
      </c>
      <c r="J65" s="3">
        <v>390</v>
      </c>
      <c r="K65" s="3">
        <v>5975</v>
      </c>
      <c r="L65" s="3">
        <v>38</v>
      </c>
      <c r="M65" s="3">
        <v>227</v>
      </c>
      <c r="N65" s="9">
        <f t="shared" si="1"/>
        <v>156.94736842105263</v>
      </c>
      <c r="O65" s="9">
        <f t="shared" si="2"/>
        <v>157.23684210526315</v>
      </c>
      <c r="P65" s="3">
        <f t="shared" si="11"/>
        <v>11</v>
      </c>
      <c r="Q65" s="3">
        <f t="shared" si="12"/>
        <v>0</v>
      </c>
      <c r="R65" s="3">
        <f t="shared" si="13"/>
        <v>-1</v>
      </c>
      <c r="S65" s="9">
        <f t="shared" si="6"/>
        <v>0.28947368421052033</v>
      </c>
      <c r="T65" s="9">
        <f t="shared" si="8"/>
        <v>0.28947368421052633</v>
      </c>
      <c r="U65" s="9">
        <f t="shared" si="9"/>
        <v>12.925000000000001</v>
      </c>
      <c r="V65" s="4">
        <f t="shared" si="10"/>
        <v>0.20000000000000018</v>
      </c>
      <c r="W65" s="2">
        <f t="shared" si="7"/>
        <v>4.0000000000000036E-3</v>
      </c>
    </row>
    <row r="66" spans="1:23">
      <c r="A66">
        <v>63</v>
      </c>
      <c r="B66" s="4">
        <f t="shared" si="0"/>
        <v>50.7568359375</v>
      </c>
      <c r="C66" s="4">
        <v>52.5</v>
      </c>
      <c r="D66" s="4">
        <v>4.0999999999999996</v>
      </c>
      <c r="E66" s="4">
        <v>0.1</v>
      </c>
      <c r="F66" s="2">
        <v>0.76800000000000002</v>
      </c>
      <c r="G66" s="3">
        <v>5964</v>
      </c>
      <c r="H66" s="3">
        <v>38</v>
      </c>
      <c r="I66" s="3">
        <v>229</v>
      </c>
      <c r="J66" s="3">
        <v>387</v>
      </c>
      <c r="K66" s="3">
        <v>5975</v>
      </c>
      <c r="L66" s="3">
        <v>40</v>
      </c>
      <c r="M66" s="3">
        <v>239</v>
      </c>
      <c r="N66" s="9">
        <f t="shared" si="1"/>
        <v>156.94736842105263</v>
      </c>
      <c r="O66" s="9">
        <f t="shared" si="2"/>
        <v>149.375</v>
      </c>
      <c r="P66" s="3">
        <f t="shared" si="11"/>
        <v>11</v>
      </c>
      <c r="Q66" s="3">
        <f t="shared" si="12"/>
        <v>2</v>
      </c>
      <c r="R66" s="3">
        <f t="shared" si="13"/>
        <v>10</v>
      </c>
      <c r="S66" s="9">
        <f t="shared" si="6"/>
        <v>-7.5723684210526301</v>
      </c>
      <c r="T66" s="9">
        <f t="shared" si="8"/>
        <v>0.28947368421052633</v>
      </c>
      <c r="U66" s="9">
        <f t="shared" si="9"/>
        <v>12.804878048780489</v>
      </c>
      <c r="V66" s="4">
        <f t="shared" si="10"/>
        <v>9.9999999999999645E-2</v>
      </c>
      <c r="W66" s="2">
        <f t="shared" si="7"/>
        <v>4.0000000000000036E-3</v>
      </c>
    </row>
    <row r="67" spans="1:23">
      <c r="A67">
        <v>64</v>
      </c>
      <c r="B67" s="4">
        <f t="shared" si="0"/>
        <v>51.5625</v>
      </c>
      <c r="C67" s="4">
        <v>53.3</v>
      </c>
      <c r="D67" s="4">
        <v>4.2</v>
      </c>
      <c r="E67" s="4">
        <v>0.1</v>
      </c>
      <c r="F67" s="2">
        <v>0.77300000000000002</v>
      </c>
      <c r="G67" s="3">
        <v>5964</v>
      </c>
      <c r="H67" s="3">
        <v>40</v>
      </c>
      <c r="I67" s="3">
        <v>240</v>
      </c>
      <c r="J67" s="3">
        <v>405</v>
      </c>
      <c r="K67" s="3">
        <v>5975</v>
      </c>
      <c r="L67" s="3">
        <v>41</v>
      </c>
      <c r="M67" s="3">
        <v>245</v>
      </c>
      <c r="N67" s="9">
        <f t="shared" ref="N67:N130" si="14">(G67/H67)</f>
        <v>149.1</v>
      </c>
      <c r="O67" s="9">
        <f t="shared" ref="O67:O130" si="15">(K67/L67)</f>
        <v>145.73170731707316</v>
      </c>
      <c r="P67" s="3">
        <f t="shared" ref="P67:P98" si="16">(K67-G67)</f>
        <v>11</v>
      </c>
      <c r="Q67" s="3">
        <f t="shared" ref="Q67:Q98" si="17">(L67-H67)</f>
        <v>1</v>
      </c>
      <c r="R67" s="3">
        <f t="shared" ref="R67:R98" si="18">(M67-I67)</f>
        <v>5</v>
      </c>
      <c r="S67" s="9">
        <f t="shared" ref="S67:S130" si="19">(O67-N67)</f>
        <v>-3.3682926829268354</v>
      </c>
      <c r="T67" s="9">
        <f t="shared" si="8"/>
        <v>0.27500000000000002</v>
      </c>
      <c r="U67" s="9">
        <f t="shared" si="9"/>
        <v>12.69047619047619</v>
      </c>
      <c r="V67" s="4">
        <f t="shared" si="10"/>
        <v>0.10000000000000053</v>
      </c>
      <c r="W67" s="2">
        <f t="shared" si="7"/>
        <v>5.0000000000000044E-3</v>
      </c>
    </row>
    <row r="68" spans="1:23">
      <c r="A68">
        <v>65</v>
      </c>
      <c r="B68" s="4">
        <f t="shared" si="0"/>
        <v>52.3681640625</v>
      </c>
      <c r="C68" s="4">
        <v>54.1</v>
      </c>
      <c r="D68" s="4">
        <v>4.3</v>
      </c>
      <c r="E68" s="4">
        <v>0.1</v>
      </c>
      <c r="F68" s="2">
        <v>0.77700000000000002</v>
      </c>
      <c r="G68" s="3">
        <v>5960</v>
      </c>
      <c r="H68" s="3">
        <v>41</v>
      </c>
      <c r="I68" s="3">
        <v>246</v>
      </c>
      <c r="J68" s="3">
        <v>415</v>
      </c>
      <c r="K68" s="3">
        <v>5975</v>
      </c>
      <c r="L68" s="3">
        <v>42</v>
      </c>
      <c r="M68" s="3">
        <v>251</v>
      </c>
      <c r="N68" s="9">
        <f t="shared" si="14"/>
        <v>145.36585365853659</v>
      </c>
      <c r="O68" s="9">
        <f t="shared" si="15"/>
        <v>142.26190476190476</v>
      </c>
      <c r="P68" s="3">
        <f t="shared" si="16"/>
        <v>15</v>
      </c>
      <c r="Q68" s="3">
        <f t="shared" si="17"/>
        <v>1</v>
      </c>
      <c r="R68" s="3">
        <f t="shared" si="18"/>
        <v>5</v>
      </c>
      <c r="S68" s="9">
        <f t="shared" si="19"/>
        <v>-3.1039488966318345</v>
      </c>
      <c r="T68" s="9">
        <f t="shared" ref="T68:T131" si="20">(P68/H68)</f>
        <v>0.36585365853658536</v>
      </c>
      <c r="U68" s="9">
        <f t="shared" ref="U68:U131" si="21">(C68/D68)</f>
        <v>12.58139534883721</v>
      </c>
      <c r="V68" s="4">
        <f t="shared" si="10"/>
        <v>9.9999999999999645E-2</v>
      </c>
      <c r="W68" s="2">
        <f t="shared" si="7"/>
        <v>4.0000000000000036E-3</v>
      </c>
    </row>
    <row r="69" spans="1:23">
      <c r="A69">
        <v>66</v>
      </c>
      <c r="B69" s="4">
        <f t="shared" ref="B69:B132" si="22">3300*(A69/4096)</f>
        <v>53.173828125</v>
      </c>
      <c r="C69" s="4">
        <v>54.9</v>
      </c>
      <c r="D69" s="4">
        <v>4.4000000000000004</v>
      </c>
      <c r="E69" s="4">
        <v>0.1</v>
      </c>
      <c r="F69" s="2">
        <v>0.78</v>
      </c>
      <c r="G69" s="3">
        <v>5960</v>
      </c>
      <c r="H69" s="3">
        <v>42</v>
      </c>
      <c r="I69" s="3">
        <v>253</v>
      </c>
      <c r="J69" s="3">
        <v>426</v>
      </c>
      <c r="K69" s="3">
        <v>5975</v>
      </c>
      <c r="L69" s="3">
        <v>43</v>
      </c>
      <c r="M69" s="3">
        <v>257</v>
      </c>
      <c r="N69" s="9">
        <f t="shared" si="14"/>
        <v>141.9047619047619</v>
      </c>
      <c r="O69" s="9">
        <f t="shared" si="15"/>
        <v>138.95348837209303</v>
      </c>
      <c r="P69" s="3">
        <f t="shared" si="16"/>
        <v>15</v>
      </c>
      <c r="Q69" s="3">
        <f t="shared" si="17"/>
        <v>1</v>
      </c>
      <c r="R69" s="3">
        <f t="shared" si="18"/>
        <v>4</v>
      </c>
      <c r="S69" s="9">
        <f t="shared" si="19"/>
        <v>-2.9512735326688642</v>
      </c>
      <c r="T69" s="9">
        <f t="shared" si="20"/>
        <v>0.35714285714285715</v>
      </c>
      <c r="U69" s="9">
        <f t="shared" si="21"/>
        <v>12.477272727272727</v>
      </c>
      <c r="V69" s="4">
        <f t="shared" ref="V69:V132" si="23">(D69-D68)</f>
        <v>0.10000000000000053</v>
      </c>
      <c r="W69" s="2">
        <f t="shared" ref="W69:W132" si="24">(F69-F68)</f>
        <v>3.0000000000000027E-3</v>
      </c>
    </row>
    <row r="70" spans="1:23">
      <c r="A70">
        <v>67</v>
      </c>
      <c r="B70" s="4">
        <f t="shared" si="22"/>
        <v>53.9794921875</v>
      </c>
      <c r="C70" s="4">
        <v>55.7</v>
      </c>
      <c r="D70" s="4">
        <v>4.5</v>
      </c>
      <c r="E70" s="4">
        <v>0.1</v>
      </c>
      <c r="F70" s="2">
        <v>0.78400000000000003</v>
      </c>
      <c r="G70" s="3">
        <v>5960</v>
      </c>
      <c r="H70" s="3">
        <v>43</v>
      </c>
      <c r="I70" s="3">
        <v>257</v>
      </c>
      <c r="J70" s="3">
        <v>451</v>
      </c>
      <c r="K70" s="3">
        <v>5975</v>
      </c>
      <c r="L70" s="3">
        <v>44</v>
      </c>
      <c r="M70" s="3">
        <v>263</v>
      </c>
      <c r="N70" s="9">
        <f t="shared" si="14"/>
        <v>138.6046511627907</v>
      </c>
      <c r="O70" s="9">
        <f t="shared" si="15"/>
        <v>135.79545454545453</v>
      </c>
      <c r="P70" s="3">
        <f t="shared" si="16"/>
        <v>15</v>
      </c>
      <c r="Q70" s="3">
        <f t="shared" si="17"/>
        <v>1</v>
      </c>
      <c r="R70" s="3">
        <f t="shared" si="18"/>
        <v>6</v>
      </c>
      <c r="S70" s="9">
        <f t="shared" si="19"/>
        <v>-2.8091966173361698</v>
      </c>
      <c r="T70" s="9">
        <f t="shared" si="20"/>
        <v>0.34883720930232559</v>
      </c>
      <c r="U70" s="9">
        <f t="shared" si="21"/>
        <v>12.377777777777778</v>
      </c>
      <c r="V70" s="4">
        <f t="shared" si="23"/>
        <v>9.9999999999999645E-2</v>
      </c>
      <c r="W70" s="2">
        <f t="shared" si="24"/>
        <v>4.0000000000000036E-3</v>
      </c>
    </row>
    <row r="71" spans="1:23">
      <c r="A71">
        <v>68</v>
      </c>
      <c r="B71" s="4">
        <f t="shared" si="22"/>
        <v>54.78515625</v>
      </c>
      <c r="C71" s="4">
        <v>56.5</v>
      </c>
      <c r="D71" s="4">
        <v>4.7</v>
      </c>
      <c r="E71" s="4">
        <v>0.1</v>
      </c>
      <c r="F71" s="2">
        <v>0.78700000000000003</v>
      </c>
      <c r="G71" s="3">
        <v>5960</v>
      </c>
      <c r="H71" s="3">
        <v>44</v>
      </c>
      <c r="I71" s="3">
        <v>268</v>
      </c>
      <c r="J71" s="3">
        <v>460</v>
      </c>
      <c r="K71" s="3">
        <v>5975</v>
      </c>
      <c r="L71" s="3">
        <v>46</v>
      </c>
      <c r="M71" s="3">
        <v>275</v>
      </c>
      <c r="N71" s="9">
        <f t="shared" si="14"/>
        <v>135.45454545454547</v>
      </c>
      <c r="O71" s="9">
        <f t="shared" si="15"/>
        <v>129.89130434782609</v>
      </c>
      <c r="P71" s="3">
        <f t="shared" si="16"/>
        <v>15</v>
      </c>
      <c r="Q71" s="3">
        <f t="shared" si="17"/>
        <v>2</v>
      </c>
      <c r="R71" s="3">
        <f t="shared" si="18"/>
        <v>7</v>
      </c>
      <c r="S71" s="9">
        <f t="shared" si="19"/>
        <v>-5.5632411067193743</v>
      </c>
      <c r="T71" s="9">
        <f t="shared" si="20"/>
        <v>0.34090909090909088</v>
      </c>
      <c r="U71" s="9">
        <f t="shared" si="21"/>
        <v>12.021276595744681</v>
      </c>
      <c r="V71" s="4">
        <f t="shared" si="23"/>
        <v>0.20000000000000018</v>
      </c>
      <c r="W71" s="2">
        <f t="shared" si="24"/>
        <v>3.0000000000000027E-3</v>
      </c>
    </row>
    <row r="72" spans="1:23">
      <c r="A72">
        <v>69</v>
      </c>
      <c r="B72" s="4">
        <f t="shared" si="22"/>
        <v>55.5908203125</v>
      </c>
      <c r="C72" s="4">
        <v>57.3</v>
      </c>
      <c r="D72" s="4">
        <v>4.8</v>
      </c>
      <c r="E72" s="4">
        <v>0.1</v>
      </c>
      <c r="F72" s="2">
        <v>0.79100000000000004</v>
      </c>
      <c r="G72" s="3">
        <v>5956</v>
      </c>
      <c r="H72" s="3">
        <v>45</v>
      </c>
      <c r="I72" s="3">
        <v>273</v>
      </c>
      <c r="J72" s="3">
        <v>462</v>
      </c>
      <c r="K72" s="3">
        <v>5975</v>
      </c>
      <c r="L72" s="3">
        <v>47</v>
      </c>
      <c r="M72" s="3">
        <v>281</v>
      </c>
      <c r="N72" s="9">
        <f t="shared" si="14"/>
        <v>132.35555555555555</v>
      </c>
      <c r="O72" s="9">
        <f t="shared" si="15"/>
        <v>127.12765957446808</v>
      </c>
      <c r="P72" s="3">
        <f t="shared" si="16"/>
        <v>19</v>
      </c>
      <c r="Q72" s="3">
        <f t="shared" si="17"/>
        <v>2</v>
      </c>
      <c r="R72" s="3">
        <f t="shared" si="18"/>
        <v>8</v>
      </c>
      <c r="S72" s="9">
        <f t="shared" si="19"/>
        <v>-5.227895981087471</v>
      </c>
      <c r="T72" s="9">
        <f t="shared" si="20"/>
        <v>0.42222222222222222</v>
      </c>
      <c r="U72" s="9">
        <f t="shared" si="21"/>
        <v>11.9375</v>
      </c>
      <c r="V72" s="4">
        <f t="shared" si="23"/>
        <v>9.9999999999999645E-2</v>
      </c>
      <c r="W72" s="2">
        <f t="shared" si="24"/>
        <v>4.0000000000000036E-3</v>
      </c>
    </row>
    <row r="73" spans="1:23">
      <c r="A73">
        <v>70</v>
      </c>
      <c r="B73" s="4">
        <f t="shared" si="22"/>
        <v>56.396484375</v>
      </c>
      <c r="C73" s="4">
        <v>58.2</v>
      </c>
      <c r="D73" s="4">
        <v>4.9000000000000004</v>
      </c>
      <c r="E73" s="4">
        <v>0.1</v>
      </c>
      <c r="F73" s="2">
        <v>0.79400000000000004</v>
      </c>
      <c r="G73" s="3">
        <v>5956</v>
      </c>
      <c r="H73" s="3">
        <v>47</v>
      </c>
      <c r="I73" s="3">
        <v>281</v>
      </c>
      <c r="J73" s="3">
        <v>472</v>
      </c>
      <c r="K73" s="3">
        <v>5975</v>
      </c>
      <c r="L73" s="3">
        <v>48</v>
      </c>
      <c r="M73" s="3">
        <v>287</v>
      </c>
      <c r="N73" s="9">
        <f t="shared" si="14"/>
        <v>126.72340425531915</v>
      </c>
      <c r="O73" s="9">
        <f t="shared" si="15"/>
        <v>124.47916666666667</v>
      </c>
      <c r="P73" s="3">
        <f t="shared" si="16"/>
        <v>19</v>
      </c>
      <c r="Q73" s="3">
        <f t="shared" si="17"/>
        <v>1</v>
      </c>
      <c r="R73" s="3">
        <f t="shared" si="18"/>
        <v>6</v>
      </c>
      <c r="S73" s="9">
        <f t="shared" si="19"/>
        <v>-2.2442375886524815</v>
      </c>
      <c r="T73" s="9">
        <f t="shared" si="20"/>
        <v>0.40425531914893614</v>
      </c>
      <c r="U73" s="9">
        <f t="shared" si="21"/>
        <v>11.877551020408163</v>
      </c>
      <c r="V73" s="4">
        <f t="shared" si="23"/>
        <v>0.10000000000000053</v>
      </c>
      <c r="W73" s="2">
        <f t="shared" si="24"/>
        <v>3.0000000000000027E-3</v>
      </c>
    </row>
    <row r="74" spans="1:23">
      <c r="A74">
        <v>71</v>
      </c>
      <c r="B74" s="4">
        <f t="shared" si="22"/>
        <v>57.2021484375</v>
      </c>
      <c r="C74" s="4">
        <v>59</v>
      </c>
      <c r="D74" s="4">
        <v>5.0999999999999996</v>
      </c>
      <c r="E74" s="4">
        <v>0.1</v>
      </c>
      <c r="F74" s="2">
        <v>0.79700000000000004</v>
      </c>
      <c r="G74" s="3">
        <v>5956</v>
      </c>
      <c r="H74" s="3">
        <v>47</v>
      </c>
      <c r="I74" s="3">
        <v>285</v>
      </c>
      <c r="J74" s="3">
        <v>487</v>
      </c>
      <c r="K74" s="3">
        <v>5975</v>
      </c>
      <c r="L74" s="3">
        <v>49</v>
      </c>
      <c r="M74" s="3">
        <v>293</v>
      </c>
      <c r="N74" s="9">
        <f t="shared" si="14"/>
        <v>126.72340425531915</v>
      </c>
      <c r="O74" s="9">
        <f t="shared" si="15"/>
        <v>121.93877551020408</v>
      </c>
      <c r="P74" s="3">
        <f t="shared" si="16"/>
        <v>19</v>
      </c>
      <c r="Q74" s="3">
        <f t="shared" si="17"/>
        <v>2</v>
      </c>
      <c r="R74" s="3">
        <f t="shared" si="18"/>
        <v>8</v>
      </c>
      <c r="S74" s="9">
        <f t="shared" si="19"/>
        <v>-4.7846287451150715</v>
      </c>
      <c r="T74" s="9">
        <f t="shared" si="20"/>
        <v>0.40425531914893614</v>
      </c>
      <c r="U74" s="9">
        <f t="shared" si="21"/>
        <v>11.568627450980394</v>
      </c>
      <c r="V74" s="4">
        <f t="shared" si="23"/>
        <v>0.19999999999999929</v>
      </c>
      <c r="W74" s="2">
        <f t="shared" si="24"/>
        <v>3.0000000000000027E-3</v>
      </c>
    </row>
    <row r="75" spans="1:23">
      <c r="A75">
        <v>72</v>
      </c>
      <c r="B75" s="4">
        <f t="shared" si="22"/>
        <v>58.0078125</v>
      </c>
      <c r="C75" s="4">
        <v>59.8</v>
      </c>
      <c r="D75" s="4">
        <v>5.2</v>
      </c>
      <c r="E75" s="4">
        <v>0.1</v>
      </c>
      <c r="F75" s="2">
        <v>0.8</v>
      </c>
      <c r="G75" s="3">
        <v>5956</v>
      </c>
      <c r="H75" s="3">
        <v>49</v>
      </c>
      <c r="I75" s="3">
        <v>295</v>
      </c>
      <c r="J75" s="3">
        <v>504</v>
      </c>
      <c r="K75" s="3">
        <v>5975</v>
      </c>
      <c r="L75" s="3">
        <v>50</v>
      </c>
      <c r="M75" s="3">
        <v>299</v>
      </c>
      <c r="N75" s="9">
        <f t="shared" si="14"/>
        <v>121.55102040816327</v>
      </c>
      <c r="O75" s="9">
        <f t="shared" si="15"/>
        <v>119.5</v>
      </c>
      <c r="P75" s="3">
        <f t="shared" si="16"/>
        <v>19</v>
      </c>
      <c r="Q75" s="3">
        <f t="shared" si="17"/>
        <v>1</v>
      </c>
      <c r="R75" s="3">
        <f t="shared" si="18"/>
        <v>4</v>
      </c>
      <c r="S75" s="9">
        <f t="shared" si="19"/>
        <v>-2.0510204081632679</v>
      </c>
      <c r="T75" s="9">
        <f t="shared" si="20"/>
        <v>0.38775510204081631</v>
      </c>
      <c r="U75" s="9">
        <f t="shared" si="21"/>
        <v>11.499999999999998</v>
      </c>
      <c r="V75" s="4">
        <f t="shared" si="23"/>
        <v>0.10000000000000053</v>
      </c>
      <c r="W75" s="2">
        <f t="shared" si="24"/>
        <v>3.0000000000000027E-3</v>
      </c>
    </row>
    <row r="76" spans="1:23">
      <c r="A76">
        <v>73</v>
      </c>
      <c r="B76" s="4">
        <f t="shared" si="22"/>
        <v>58.8134765625</v>
      </c>
      <c r="C76" s="4">
        <v>60.6</v>
      </c>
      <c r="D76" s="4">
        <v>5.3</v>
      </c>
      <c r="E76" s="4">
        <v>0.1</v>
      </c>
      <c r="F76" s="2">
        <v>0.80300000000000005</v>
      </c>
      <c r="G76" s="3">
        <v>5956</v>
      </c>
      <c r="H76" s="3">
        <v>50</v>
      </c>
      <c r="I76" s="3">
        <v>303</v>
      </c>
      <c r="J76" s="3">
        <v>506</v>
      </c>
      <c r="K76" s="3">
        <v>5975</v>
      </c>
      <c r="L76" s="3">
        <v>51</v>
      </c>
      <c r="M76" s="3">
        <v>305</v>
      </c>
      <c r="N76" s="9">
        <f t="shared" si="14"/>
        <v>119.12</v>
      </c>
      <c r="O76" s="9">
        <f t="shared" si="15"/>
        <v>117.15686274509804</v>
      </c>
      <c r="P76" s="3">
        <f t="shared" si="16"/>
        <v>19</v>
      </c>
      <c r="Q76" s="3">
        <f t="shared" si="17"/>
        <v>1</v>
      </c>
      <c r="R76" s="3">
        <f t="shared" si="18"/>
        <v>2</v>
      </c>
      <c r="S76" s="9">
        <f t="shared" si="19"/>
        <v>-1.9631372549019659</v>
      </c>
      <c r="T76" s="9">
        <f t="shared" si="20"/>
        <v>0.38</v>
      </c>
      <c r="U76" s="9">
        <f t="shared" si="21"/>
        <v>11.433962264150944</v>
      </c>
      <c r="V76" s="4">
        <f t="shared" si="23"/>
        <v>9.9999999999999645E-2</v>
      </c>
      <c r="W76" s="2">
        <f t="shared" si="24"/>
        <v>3.0000000000000027E-3</v>
      </c>
    </row>
    <row r="77" spans="1:23">
      <c r="A77">
        <v>74</v>
      </c>
      <c r="B77" s="4">
        <f t="shared" si="22"/>
        <v>59.619140625</v>
      </c>
      <c r="C77" s="4">
        <v>61.4</v>
      </c>
      <c r="D77" s="4">
        <v>5.4</v>
      </c>
      <c r="E77" s="4">
        <v>0.1</v>
      </c>
      <c r="F77" s="2">
        <v>0.80600000000000005</v>
      </c>
      <c r="G77" s="3">
        <v>5956</v>
      </c>
      <c r="H77" s="3">
        <v>51</v>
      </c>
      <c r="I77" s="3">
        <v>307</v>
      </c>
      <c r="J77" s="3">
        <v>529</v>
      </c>
      <c r="K77" s="3">
        <v>5975</v>
      </c>
      <c r="L77" s="3">
        <v>53</v>
      </c>
      <c r="M77" s="3">
        <v>317</v>
      </c>
      <c r="N77" s="9">
        <f t="shared" si="14"/>
        <v>116.78431372549019</v>
      </c>
      <c r="O77" s="9">
        <f t="shared" si="15"/>
        <v>112.73584905660377</v>
      </c>
      <c r="P77" s="3">
        <f t="shared" si="16"/>
        <v>19</v>
      </c>
      <c r="Q77" s="3">
        <f t="shared" si="17"/>
        <v>2</v>
      </c>
      <c r="R77" s="3">
        <f t="shared" si="18"/>
        <v>10</v>
      </c>
      <c r="S77" s="9">
        <f t="shared" si="19"/>
        <v>-4.0484646688864245</v>
      </c>
      <c r="T77" s="9">
        <f t="shared" si="20"/>
        <v>0.37254901960784315</v>
      </c>
      <c r="U77" s="9">
        <f t="shared" si="21"/>
        <v>11.37037037037037</v>
      </c>
      <c r="V77" s="4">
        <f t="shared" si="23"/>
        <v>0.10000000000000053</v>
      </c>
      <c r="W77" s="2">
        <f t="shared" si="24"/>
        <v>3.0000000000000027E-3</v>
      </c>
    </row>
    <row r="78" spans="1:23">
      <c r="A78">
        <v>75</v>
      </c>
      <c r="B78" s="4">
        <f t="shared" si="22"/>
        <v>60.4248046875</v>
      </c>
      <c r="C78" s="4">
        <v>62.2</v>
      </c>
      <c r="D78" s="4">
        <v>5.5</v>
      </c>
      <c r="E78" s="4">
        <v>0.1</v>
      </c>
      <c r="F78" s="2">
        <v>0.80900000000000005</v>
      </c>
      <c r="G78" s="3">
        <v>5956</v>
      </c>
      <c r="H78" s="3">
        <v>53</v>
      </c>
      <c r="I78" s="3">
        <v>318</v>
      </c>
      <c r="J78" s="3">
        <v>533</v>
      </c>
      <c r="K78" s="3">
        <v>5975</v>
      </c>
      <c r="L78" s="3">
        <v>54</v>
      </c>
      <c r="M78" s="3">
        <v>323</v>
      </c>
      <c r="N78" s="9">
        <f t="shared" si="14"/>
        <v>112.37735849056604</v>
      </c>
      <c r="O78" s="9">
        <f t="shared" si="15"/>
        <v>110.64814814814815</v>
      </c>
      <c r="P78" s="3">
        <f t="shared" si="16"/>
        <v>19</v>
      </c>
      <c r="Q78" s="3">
        <f t="shared" si="17"/>
        <v>1</v>
      </c>
      <c r="R78" s="3">
        <f t="shared" si="18"/>
        <v>5</v>
      </c>
      <c r="S78" s="9">
        <f t="shared" si="19"/>
        <v>-1.7292103424178862</v>
      </c>
      <c r="T78" s="9">
        <f t="shared" si="20"/>
        <v>0.35849056603773582</v>
      </c>
      <c r="U78" s="9">
        <f t="shared" si="21"/>
        <v>11.30909090909091</v>
      </c>
      <c r="V78" s="4">
        <f t="shared" si="23"/>
        <v>9.9999999999999645E-2</v>
      </c>
      <c r="W78" s="2">
        <f t="shared" si="24"/>
        <v>3.0000000000000027E-3</v>
      </c>
    </row>
    <row r="79" spans="1:23">
      <c r="A79">
        <v>76</v>
      </c>
      <c r="B79" s="4">
        <f t="shared" si="22"/>
        <v>61.23046875</v>
      </c>
      <c r="C79" s="4">
        <v>63</v>
      </c>
      <c r="D79" s="4">
        <v>5.6</v>
      </c>
      <c r="E79" s="4">
        <v>0.1</v>
      </c>
      <c r="F79" s="2">
        <v>0.81100000000000005</v>
      </c>
      <c r="G79" s="3">
        <v>5952</v>
      </c>
      <c r="H79" s="3">
        <v>54</v>
      </c>
      <c r="I79" s="3">
        <v>322</v>
      </c>
      <c r="J79" s="3">
        <v>533</v>
      </c>
      <c r="K79" s="3">
        <v>5975</v>
      </c>
      <c r="L79" s="3">
        <v>55</v>
      </c>
      <c r="M79" s="3">
        <v>329</v>
      </c>
      <c r="N79" s="9">
        <f t="shared" si="14"/>
        <v>110.22222222222223</v>
      </c>
      <c r="O79" s="9">
        <f t="shared" si="15"/>
        <v>108.63636363636364</v>
      </c>
      <c r="P79" s="3">
        <f t="shared" si="16"/>
        <v>23</v>
      </c>
      <c r="Q79" s="3">
        <f t="shared" si="17"/>
        <v>1</v>
      </c>
      <c r="R79" s="3">
        <f t="shared" si="18"/>
        <v>7</v>
      </c>
      <c r="S79" s="9">
        <f t="shared" si="19"/>
        <v>-1.5858585858585883</v>
      </c>
      <c r="T79" s="9">
        <f t="shared" si="20"/>
        <v>0.42592592592592593</v>
      </c>
      <c r="U79" s="9">
        <f t="shared" si="21"/>
        <v>11.25</v>
      </c>
      <c r="V79" s="4">
        <f t="shared" si="23"/>
        <v>9.9999999999999645E-2</v>
      </c>
      <c r="W79" s="2">
        <f t="shared" si="24"/>
        <v>2.0000000000000018E-3</v>
      </c>
    </row>
    <row r="80" spans="1:23">
      <c r="A80">
        <v>77</v>
      </c>
      <c r="B80" s="4">
        <f t="shared" si="22"/>
        <v>62.0361328125</v>
      </c>
      <c r="C80" s="4">
        <v>63.8</v>
      </c>
      <c r="D80" s="4">
        <v>5.8</v>
      </c>
      <c r="E80" s="4">
        <v>0.1</v>
      </c>
      <c r="F80" s="2">
        <v>0.81399999999999995</v>
      </c>
      <c r="G80" s="3">
        <v>5952</v>
      </c>
      <c r="H80" s="3">
        <v>55</v>
      </c>
      <c r="I80" s="3">
        <v>329</v>
      </c>
      <c r="J80" s="3">
        <v>558</v>
      </c>
      <c r="K80" s="3">
        <v>5975</v>
      </c>
      <c r="L80" s="3">
        <v>56</v>
      </c>
      <c r="M80" s="3">
        <v>335</v>
      </c>
      <c r="N80" s="9">
        <f t="shared" si="14"/>
        <v>108.21818181818182</v>
      </c>
      <c r="O80" s="9">
        <f t="shared" si="15"/>
        <v>106.69642857142857</v>
      </c>
      <c r="P80" s="3">
        <f t="shared" si="16"/>
        <v>23</v>
      </c>
      <c r="Q80" s="3">
        <f t="shared" si="17"/>
        <v>1</v>
      </c>
      <c r="R80" s="3">
        <f t="shared" si="18"/>
        <v>6</v>
      </c>
      <c r="S80" s="9">
        <f t="shared" si="19"/>
        <v>-1.5217532467532493</v>
      </c>
      <c r="T80" s="9">
        <f t="shared" si="20"/>
        <v>0.41818181818181815</v>
      </c>
      <c r="U80" s="9">
        <f t="shared" si="21"/>
        <v>11</v>
      </c>
      <c r="V80" s="4">
        <f t="shared" si="23"/>
        <v>0.20000000000000018</v>
      </c>
      <c r="W80" s="2">
        <f t="shared" si="24"/>
        <v>2.9999999999998916E-3</v>
      </c>
    </row>
    <row r="81" spans="1:23">
      <c r="A81">
        <v>78</v>
      </c>
      <c r="B81" s="4">
        <f t="shared" si="22"/>
        <v>62.841796875</v>
      </c>
      <c r="C81" s="4">
        <v>64.7</v>
      </c>
      <c r="D81" s="4">
        <v>5.9</v>
      </c>
      <c r="E81" s="4">
        <v>0.1</v>
      </c>
      <c r="F81" s="2">
        <v>0.81699999999999995</v>
      </c>
      <c r="G81" s="3">
        <v>5952</v>
      </c>
      <c r="H81" s="3">
        <v>56</v>
      </c>
      <c r="I81" s="3">
        <v>335</v>
      </c>
      <c r="J81" s="3">
        <v>568</v>
      </c>
      <c r="K81" s="3">
        <v>5975</v>
      </c>
      <c r="L81" s="3">
        <v>57</v>
      </c>
      <c r="M81" s="3">
        <v>341</v>
      </c>
      <c r="N81" s="9">
        <f t="shared" si="14"/>
        <v>106.28571428571429</v>
      </c>
      <c r="O81" s="9">
        <f t="shared" si="15"/>
        <v>104.82456140350877</v>
      </c>
      <c r="P81" s="3">
        <f t="shared" si="16"/>
        <v>23</v>
      </c>
      <c r="Q81" s="3">
        <f t="shared" si="17"/>
        <v>1</v>
      </c>
      <c r="R81" s="3">
        <f t="shared" si="18"/>
        <v>6</v>
      </c>
      <c r="S81" s="9">
        <f t="shared" si="19"/>
        <v>-1.4611528822055249</v>
      </c>
      <c r="T81" s="9">
        <f t="shared" si="20"/>
        <v>0.4107142857142857</v>
      </c>
      <c r="U81" s="9">
        <f t="shared" si="21"/>
        <v>10.966101694915254</v>
      </c>
      <c r="V81" s="4">
        <f t="shared" si="23"/>
        <v>0.10000000000000053</v>
      </c>
      <c r="W81" s="2">
        <f t="shared" si="24"/>
        <v>3.0000000000000027E-3</v>
      </c>
    </row>
    <row r="82" spans="1:23">
      <c r="A82">
        <v>79</v>
      </c>
      <c r="B82" s="4">
        <f t="shared" si="22"/>
        <v>63.6474609375</v>
      </c>
      <c r="C82" s="4">
        <v>65.400000000000006</v>
      </c>
      <c r="D82" s="4">
        <v>6</v>
      </c>
      <c r="E82" s="4">
        <v>0.1</v>
      </c>
      <c r="F82" s="2">
        <v>0.81899999999999995</v>
      </c>
      <c r="G82" s="3">
        <v>5952</v>
      </c>
      <c r="H82" s="3">
        <v>57</v>
      </c>
      <c r="I82" s="3">
        <v>344</v>
      </c>
      <c r="J82" s="3">
        <v>579</v>
      </c>
      <c r="K82" s="3">
        <v>5975</v>
      </c>
      <c r="L82" s="3">
        <v>58</v>
      </c>
      <c r="M82" s="3">
        <v>347</v>
      </c>
      <c r="N82" s="9">
        <f t="shared" si="14"/>
        <v>104.42105263157895</v>
      </c>
      <c r="O82" s="9">
        <f t="shared" si="15"/>
        <v>103.01724137931035</v>
      </c>
      <c r="P82" s="3">
        <f t="shared" si="16"/>
        <v>23</v>
      </c>
      <c r="Q82" s="3">
        <f t="shared" si="17"/>
        <v>1</v>
      </c>
      <c r="R82" s="3">
        <f t="shared" si="18"/>
        <v>3</v>
      </c>
      <c r="S82" s="9">
        <f t="shared" si="19"/>
        <v>-1.4038112522685964</v>
      </c>
      <c r="T82" s="9">
        <f t="shared" si="20"/>
        <v>0.40350877192982454</v>
      </c>
      <c r="U82" s="9">
        <f t="shared" si="21"/>
        <v>10.9</v>
      </c>
      <c r="V82" s="4">
        <f t="shared" si="23"/>
        <v>9.9999999999999645E-2</v>
      </c>
      <c r="W82" s="2">
        <f t="shared" si="24"/>
        <v>2.0000000000000018E-3</v>
      </c>
    </row>
    <row r="83" spans="1:23">
      <c r="A83">
        <v>80</v>
      </c>
      <c r="B83" s="4">
        <f t="shared" si="22"/>
        <v>64.453125</v>
      </c>
      <c r="C83" s="4">
        <v>66.3</v>
      </c>
      <c r="D83" s="4">
        <v>6.1</v>
      </c>
      <c r="E83" s="4">
        <v>0.1</v>
      </c>
      <c r="F83" s="2">
        <v>0.82099999999999995</v>
      </c>
      <c r="G83" s="3">
        <v>5952</v>
      </c>
      <c r="H83" s="3">
        <v>58</v>
      </c>
      <c r="I83" s="3">
        <v>350</v>
      </c>
      <c r="J83" s="3">
        <v>579</v>
      </c>
      <c r="K83" s="3">
        <v>5975</v>
      </c>
      <c r="L83" s="3">
        <v>59</v>
      </c>
      <c r="M83" s="3">
        <v>353</v>
      </c>
      <c r="N83" s="9">
        <f t="shared" si="14"/>
        <v>102.62068965517241</v>
      </c>
      <c r="O83" s="9">
        <f t="shared" si="15"/>
        <v>101.27118644067797</v>
      </c>
      <c r="P83" s="3">
        <f t="shared" si="16"/>
        <v>23</v>
      </c>
      <c r="Q83" s="3">
        <f t="shared" si="17"/>
        <v>1</v>
      </c>
      <c r="R83" s="3">
        <f t="shared" si="18"/>
        <v>3</v>
      </c>
      <c r="S83" s="9">
        <f t="shared" si="19"/>
        <v>-1.3495032144944474</v>
      </c>
      <c r="T83" s="9">
        <f t="shared" si="20"/>
        <v>0.39655172413793105</v>
      </c>
      <c r="U83" s="9">
        <f t="shared" si="21"/>
        <v>10.868852459016393</v>
      </c>
      <c r="V83" s="4">
        <f t="shared" si="23"/>
        <v>9.9999999999999645E-2</v>
      </c>
      <c r="W83" s="2">
        <f t="shared" si="24"/>
        <v>2.0000000000000018E-3</v>
      </c>
    </row>
    <row r="84" spans="1:23">
      <c r="A84">
        <v>81</v>
      </c>
      <c r="B84" s="4">
        <f t="shared" si="22"/>
        <v>65.2587890625</v>
      </c>
      <c r="C84" s="4">
        <v>67.099999999999994</v>
      </c>
      <c r="D84" s="4">
        <v>6.2</v>
      </c>
      <c r="E84" s="4">
        <v>0.1</v>
      </c>
      <c r="F84" s="2">
        <v>0.82399999999999995</v>
      </c>
      <c r="G84" s="3">
        <v>5952</v>
      </c>
      <c r="H84" s="3">
        <v>59</v>
      </c>
      <c r="I84" s="3">
        <v>356</v>
      </c>
      <c r="J84" s="3">
        <v>604</v>
      </c>
      <c r="K84" s="3">
        <v>5975</v>
      </c>
      <c r="L84" s="3">
        <v>60</v>
      </c>
      <c r="M84" s="3">
        <v>359</v>
      </c>
      <c r="N84" s="9">
        <f t="shared" si="14"/>
        <v>100.88135593220339</v>
      </c>
      <c r="O84" s="9">
        <f t="shared" si="15"/>
        <v>99.583333333333329</v>
      </c>
      <c r="P84" s="3">
        <f t="shared" si="16"/>
        <v>23</v>
      </c>
      <c r="Q84" s="3">
        <f t="shared" si="17"/>
        <v>1</v>
      </c>
      <c r="R84" s="3">
        <f t="shared" si="18"/>
        <v>3</v>
      </c>
      <c r="S84" s="9">
        <f t="shared" si="19"/>
        <v>-1.2980225988700624</v>
      </c>
      <c r="T84" s="9">
        <f t="shared" si="20"/>
        <v>0.38983050847457629</v>
      </c>
      <c r="U84" s="9">
        <f t="shared" si="21"/>
        <v>10.822580645161288</v>
      </c>
      <c r="V84" s="4">
        <f t="shared" si="23"/>
        <v>0.10000000000000053</v>
      </c>
      <c r="W84" s="2">
        <f t="shared" si="24"/>
        <v>3.0000000000000027E-3</v>
      </c>
    </row>
    <row r="85" spans="1:23">
      <c r="A85">
        <v>82</v>
      </c>
      <c r="B85" s="4">
        <f t="shared" si="22"/>
        <v>66.064453125</v>
      </c>
      <c r="C85" s="4">
        <v>67.900000000000006</v>
      </c>
      <c r="D85" s="4">
        <v>6.3</v>
      </c>
      <c r="E85" s="4">
        <v>0.1</v>
      </c>
      <c r="F85" s="2">
        <v>0.82599999999999996</v>
      </c>
      <c r="G85" s="3">
        <v>5948</v>
      </c>
      <c r="H85" s="3">
        <v>60</v>
      </c>
      <c r="I85" s="3">
        <v>362</v>
      </c>
      <c r="J85" s="3">
        <v>620</v>
      </c>
      <c r="K85" s="3">
        <v>5975</v>
      </c>
      <c r="L85" s="3">
        <v>62</v>
      </c>
      <c r="M85" s="3">
        <v>370</v>
      </c>
      <c r="N85" s="9">
        <f t="shared" si="14"/>
        <v>99.13333333333334</v>
      </c>
      <c r="O85" s="9">
        <f t="shared" si="15"/>
        <v>96.370967741935488</v>
      </c>
      <c r="P85" s="3">
        <f t="shared" si="16"/>
        <v>27</v>
      </c>
      <c r="Q85" s="3">
        <f t="shared" si="17"/>
        <v>2</v>
      </c>
      <c r="R85" s="3">
        <f t="shared" si="18"/>
        <v>8</v>
      </c>
      <c r="S85" s="9">
        <f t="shared" si="19"/>
        <v>-2.7623655913978524</v>
      </c>
      <c r="T85" s="9">
        <f t="shared" si="20"/>
        <v>0.45</v>
      </c>
      <c r="U85" s="9">
        <f t="shared" si="21"/>
        <v>10.777777777777779</v>
      </c>
      <c r="V85" s="4">
        <f t="shared" si="23"/>
        <v>9.9999999999999645E-2</v>
      </c>
      <c r="W85" s="2">
        <f t="shared" si="24"/>
        <v>2.0000000000000018E-3</v>
      </c>
    </row>
    <row r="86" spans="1:23">
      <c r="A86">
        <v>83</v>
      </c>
      <c r="B86" s="4">
        <f t="shared" si="22"/>
        <v>66.8701171875</v>
      </c>
      <c r="C86" s="4">
        <v>68.7</v>
      </c>
      <c r="D86" s="4">
        <v>6.5</v>
      </c>
      <c r="E86" s="4">
        <v>0.1</v>
      </c>
      <c r="F86" s="2">
        <v>0.82799999999999996</v>
      </c>
      <c r="G86" s="3">
        <v>5948</v>
      </c>
      <c r="H86" s="3">
        <v>62</v>
      </c>
      <c r="I86" s="3">
        <v>369</v>
      </c>
      <c r="J86" s="3">
        <v>624</v>
      </c>
      <c r="K86" s="3">
        <v>5975</v>
      </c>
      <c r="L86" s="3">
        <v>63</v>
      </c>
      <c r="M86" s="3">
        <v>377</v>
      </c>
      <c r="N86" s="9">
        <f t="shared" si="14"/>
        <v>95.935483870967744</v>
      </c>
      <c r="O86" s="9">
        <f t="shared" si="15"/>
        <v>94.841269841269835</v>
      </c>
      <c r="P86" s="3">
        <f t="shared" si="16"/>
        <v>27</v>
      </c>
      <c r="Q86" s="3">
        <f t="shared" si="17"/>
        <v>1</v>
      </c>
      <c r="R86" s="3">
        <f t="shared" si="18"/>
        <v>8</v>
      </c>
      <c r="S86" s="9">
        <f t="shared" si="19"/>
        <v>-1.094214029697909</v>
      </c>
      <c r="T86" s="9">
        <f t="shared" si="20"/>
        <v>0.43548387096774194</v>
      </c>
      <c r="U86" s="9">
        <f t="shared" si="21"/>
        <v>10.569230769230769</v>
      </c>
      <c r="V86" s="4">
        <f t="shared" si="23"/>
        <v>0.20000000000000018</v>
      </c>
      <c r="W86" s="2">
        <f t="shared" si="24"/>
        <v>2.0000000000000018E-3</v>
      </c>
    </row>
    <row r="87" spans="1:23">
      <c r="A87">
        <v>84</v>
      </c>
      <c r="B87" s="4">
        <f t="shared" si="22"/>
        <v>67.67578125</v>
      </c>
      <c r="C87" s="4">
        <v>69.5</v>
      </c>
      <c r="D87" s="4">
        <v>6.6</v>
      </c>
      <c r="E87" s="4">
        <v>0.1</v>
      </c>
      <c r="F87" s="2">
        <v>0.83</v>
      </c>
      <c r="G87" s="3">
        <v>5948</v>
      </c>
      <c r="H87" s="3">
        <v>63</v>
      </c>
      <c r="I87" s="3">
        <v>378</v>
      </c>
      <c r="J87" s="3">
        <v>638</v>
      </c>
      <c r="K87" s="3">
        <v>5975</v>
      </c>
      <c r="L87" s="3">
        <v>64</v>
      </c>
      <c r="M87" s="3">
        <v>382</v>
      </c>
      <c r="N87" s="9">
        <f t="shared" si="14"/>
        <v>94.412698412698418</v>
      </c>
      <c r="O87" s="9">
        <f t="shared" si="15"/>
        <v>93.359375</v>
      </c>
      <c r="P87" s="3">
        <f t="shared" si="16"/>
        <v>27</v>
      </c>
      <c r="Q87" s="3">
        <f t="shared" si="17"/>
        <v>1</v>
      </c>
      <c r="R87" s="3">
        <f t="shared" si="18"/>
        <v>4</v>
      </c>
      <c r="S87" s="9">
        <f t="shared" si="19"/>
        <v>-1.0533234126984183</v>
      </c>
      <c r="T87" s="9">
        <f t="shared" si="20"/>
        <v>0.42857142857142855</v>
      </c>
      <c r="U87" s="9">
        <f t="shared" si="21"/>
        <v>10.530303030303031</v>
      </c>
      <c r="V87" s="4">
        <f t="shared" si="23"/>
        <v>9.9999999999999645E-2</v>
      </c>
      <c r="W87" s="2">
        <f t="shared" si="24"/>
        <v>2.0000000000000018E-3</v>
      </c>
    </row>
    <row r="88" spans="1:23">
      <c r="A88">
        <v>85</v>
      </c>
      <c r="B88" s="4">
        <f t="shared" si="22"/>
        <v>68.4814453125</v>
      </c>
      <c r="C88" s="4">
        <v>70.3</v>
      </c>
      <c r="D88" s="4">
        <v>6.7</v>
      </c>
      <c r="E88" s="4">
        <v>0.1</v>
      </c>
      <c r="F88" s="2">
        <v>0.83199999999999996</v>
      </c>
      <c r="G88" s="3">
        <v>5948</v>
      </c>
      <c r="H88" s="3">
        <v>63</v>
      </c>
      <c r="I88" s="3">
        <v>379</v>
      </c>
      <c r="J88" s="3">
        <v>645</v>
      </c>
      <c r="K88" s="3">
        <v>5975</v>
      </c>
      <c r="L88" s="3">
        <v>65</v>
      </c>
      <c r="M88" s="3">
        <v>389</v>
      </c>
      <c r="N88" s="9">
        <f t="shared" si="14"/>
        <v>94.412698412698418</v>
      </c>
      <c r="O88" s="9">
        <f t="shared" si="15"/>
        <v>91.92307692307692</v>
      </c>
      <c r="P88" s="3">
        <f t="shared" si="16"/>
        <v>27</v>
      </c>
      <c r="Q88" s="3">
        <f t="shared" si="17"/>
        <v>2</v>
      </c>
      <c r="R88" s="3">
        <f t="shared" si="18"/>
        <v>10</v>
      </c>
      <c r="S88" s="9">
        <f t="shared" si="19"/>
        <v>-2.4896214896214985</v>
      </c>
      <c r="T88" s="9">
        <f t="shared" si="20"/>
        <v>0.42857142857142855</v>
      </c>
      <c r="U88" s="9">
        <f t="shared" si="21"/>
        <v>10.492537313432836</v>
      </c>
      <c r="V88" s="4">
        <f t="shared" si="23"/>
        <v>0.10000000000000053</v>
      </c>
      <c r="W88" s="2">
        <f t="shared" si="24"/>
        <v>2.0000000000000018E-3</v>
      </c>
    </row>
    <row r="89" spans="1:23">
      <c r="A89">
        <v>86</v>
      </c>
      <c r="B89" s="4">
        <f t="shared" si="22"/>
        <v>69.287109375</v>
      </c>
      <c r="C89" s="4">
        <v>71.099999999999994</v>
      </c>
      <c r="D89" s="4">
        <v>6.8</v>
      </c>
      <c r="E89" s="4">
        <v>0.1</v>
      </c>
      <c r="F89" s="2">
        <v>0.83399999999999996</v>
      </c>
      <c r="G89" s="3">
        <v>5948</v>
      </c>
      <c r="H89" s="3">
        <v>64</v>
      </c>
      <c r="I89" s="3">
        <v>385</v>
      </c>
      <c r="J89" s="3">
        <v>666</v>
      </c>
      <c r="K89" s="3">
        <v>5975</v>
      </c>
      <c r="L89" s="3">
        <v>66</v>
      </c>
      <c r="M89" s="3">
        <v>394</v>
      </c>
      <c r="N89" s="9">
        <f t="shared" si="14"/>
        <v>92.9375</v>
      </c>
      <c r="O89" s="9">
        <f t="shared" si="15"/>
        <v>90.530303030303031</v>
      </c>
      <c r="P89" s="3">
        <f t="shared" si="16"/>
        <v>27</v>
      </c>
      <c r="Q89" s="3">
        <f t="shared" si="17"/>
        <v>2</v>
      </c>
      <c r="R89" s="3">
        <f t="shared" si="18"/>
        <v>9</v>
      </c>
      <c r="S89" s="9">
        <f t="shared" si="19"/>
        <v>-2.4071969696969688</v>
      </c>
      <c r="T89" s="9">
        <f t="shared" si="20"/>
        <v>0.421875</v>
      </c>
      <c r="U89" s="9">
        <f t="shared" si="21"/>
        <v>10.455882352941176</v>
      </c>
      <c r="V89" s="4">
        <f t="shared" si="23"/>
        <v>9.9999999999999645E-2</v>
      </c>
      <c r="W89" s="2">
        <f t="shared" si="24"/>
        <v>2.0000000000000018E-3</v>
      </c>
    </row>
    <row r="90" spans="1:23">
      <c r="A90">
        <v>87</v>
      </c>
      <c r="B90" s="4">
        <f t="shared" si="22"/>
        <v>70.0927734375</v>
      </c>
      <c r="C90" s="4">
        <v>71.900000000000006</v>
      </c>
      <c r="D90" s="4">
        <v>6.9</v>
      </c>
      <c r="E90" s="4">
        <v>0.1</v>
      </c>
      <c r="F90" s="2">
        <v>0.83599999999999997</v>
      </c>
      <c r="G90" s="3">
        <v>5948</v>
      </c>
      <c r="H90" s="3">
        <v>66</v>
      </c>
      <c r="I90" s="3">
        <v>395</v>
      </c>
      <c r="J90" s="3">
        <v>681</v>
      </c>
      <c r="K90" s="3">
        <v>5975</v>
      </c>
      <c r="L90" s="3">
        <v>67</v>
      </c>
      <c r="M90" s="3">
        <v>400</v>
      </c>
      <c r="N90" s="9">
        <f t="shared" si="14"/>
        <v>90.121212121212125</v>
      </c>
      <c r="O90" s="9">
        <f t="shared" si="15"/>
        <v>89.179104477611943</v>
      </c>
      <c r="P90" s="3">
        <f t="shared" si="16"/>
        <v>27</v>
      </c>
      <c r="Q90" s="3">
        <f t="shared" si="17"/>
        <v>1</v>
      </c>
      <c r="R90" s="3">
        <f t="shared" si="18"/>
        <v>5</v>
      </c>
      <c r="S90" s="9">
        <f t="shared" si="19"/>
        <v>-0.94210764360018118</v>
      </c>
      <c r="T90" s="9">
        <f t="shared" si="20"/>
        <v>0.40909090909090912</v>
      </c>
      <c r="U90" s="9">
        <f t="shared" si="21"/>
        <v>10.420289855072465</v>
      </c>
      <c r="V90" s="4">
        <f t="shared" si="23"/>
        <v>0.10000000000000053</v>
      </c>
      <c r="W90" s="2">
        <f t="shared" si="24"/>
        <v>2.0000000000000018E-3</v>
      </c>
    </row>
    <row r="91" spans="1:23">
      <c r="A91">
        <v>88</v>
      </c>
      <c r="B91" s="4">
        <f t="shared" si="22"/>
        <v>70.8984375</v>
      </c>
      <c r="C91" s="4">
        <v>72.7</v>
      </c>
      <c r="D91" s="4">
        <v>7</v>
      </c>
      <c r="E91" s="4">
        <v>0.1</v>
      </c>
      <c r="F91" s="2">
        <v>0.83799999999999997</v>
      </c>
      <c r="G91" s="3">
        <v>5944</v>
      </c>
      <c r="H91" s="3">
        <v>67</v>
      </c>
      <c r="I91" s="3">
        <v>401</v>
      </c>
      <c r="J91" s="3">
        <v>691</v>
      </c>
      <c r="K91" s="3">
        <v>5975</v>
      </c>
      <c r="L91" s="3">
        <v>68</v>
      </c>
      <c r="M91" s="3">
        <v>406</v>
      </c>
      <c r="N91" s="9">
        <f t="shared" si="14"/>
        <v>88.71641791044776</v>
      </c>
      <c r="O91" s="9">
        <f t="shared" si="15"/>
        <v>87.867647058823536</v>
      </c>
      <c r="P91" s="3">
        <f t="shared" si="16"/>
        <v>31</v>
      </c>
      <c r="Q91" s="3">
        <f t="shared" si="17"/>
        <v>1</v>
      </c>
      <c r="R91" s="3">
        <f t="shared" si="18"/>
        <v>5</v>
      </c>
      <c r="S91" s="9">
        <f t="shared" si="19"/>
        <v>-0.84877085162422361</v>
      </c>
      <c r="T91" s="9">
        <f t="shared" si="20"/>
        <v>0.46268656716417911</v>
      </c>
      <c r="U91" s="9">
        <f t="shared" si="21"/>
        <v>10.385714285714286</v>
      </c>
      <c r="V91" s="4">
        <f t="shared" si="23"/>
        <v>9.9999999999999645E-2</v>
      </c>
      <c r="W91" s="2">
        <f t="shared" si="24"/>
        <v>2.0000000000000018E-3</v>
      </c>
    </row>
    <row r="92" spans="1:23">
      <c r="A92">
        <v>89</v>
      </c>
      <c r="B92" s="4">
        <f t="shared" si="22"/>
        <v>71.7041015625</v>
      </c>
      <c r="C92" s="4">
        <v>73.5</v>
      </c>
      <c r="D92" s="4">
        <v>7.2</v>
      </c>
      <c r="E92" s="4">
        <v>0.1</v>
      </c>
      <c r="F92" s="2">
        <v>0.84</v>
      </c>
      <c r="G92" s="3">
        <v>5944</v>
      </c>
      <c r="H92" s="3">
        <v>68</v>
      </c>
      <c r="I92" s="3">
        <v>407</v>
      </c>
      <c r="J92" s="3">
        <v>691</v>
      </c>
      <c r="K92" s="3">
        <v>5975</v>
      </c>
      <c r="L92" s="3">
        <v>69</v>
      </c>
      <c r="M92" s="3">
        <v>412</v>
      </c>
      <c r="N92" s="9">
        <f t="shared" si="14"/>
        <v>87.411764705882348</v>
      </c>
      <c r="O92" s="9">
        <f t="shared" si="15"/>
        <v>86.594202898550719</v>
      </c>
      <c r="P92" s="3">
        <f t="shared" si="16"/>
        <v>31</v>
      </c>
      <c r="Q92" s="3">
        <f t="shared" si="17"/>
        <v>1</v>
      </c>
      <c r="R92" s="3">
        <f t="shared" si="18"/>
        <v>5</v>
      </c>
      <c r="S92" s="9">
        <f t="shared" si="19"/>
        <v>-0.81756180733162864</v>
      </c>
      <c r="T92" s="9">
        <f t="shared" si="20"/>
        <v>0.45588235294117646</v>
      </c>
      <c r="U92" s="9">
        <f t="shared" si="21"/>
        <v>10.208333333333334</v>
      </c>
      <c r="V92" s="4">
        <f t="shared" si="23"/>
        <v>0.20000000000000018</v>
      </c>
      <c r="W92" s="2">
        <f t="shared" si="24"/>
        <v>2.0000000000000018E-3</v>
      </c>
    </row>
    <row r="93" spans="1:23">
      <c r="A93">
        <v>90</v>
      </c>
      <c r="B93" s="4">
        <f t="shared" si="22"/>
        <v>72.509765625</v>
      </c>
      <c r="C93" s="4">
        <v>74.3</v>
      </c>
      <c r="D93" s="4">
        <v>7.3</v>
      </c>
      <c r="E93" s="4">
        <v>0.1</v>
      </c>
      <c r="F93" s="2">
        <v>0.84199999999999997</v>
      </c>
      <c r="G93" s="3">
        <v>5944</v>
      </c>
      <c r="H93" s="3">
        <v>69</v>
      </c>
      <c r="I93" s="3">
        <v>413</v>
      </c>
      <c r="J93" s="3">
        <v>708</v>
      </c>
      <c r="K93" s="3">
        <v>5975</v>
      </c>
      <c r="L93" s="3">
        <v>70</v>
      </c>
      <c r="M93" s="3">
        <v>418</v>
      </c>
      <c r="N93" s="9">
        <f t="shared" si="14"/>
        <v>86.14492753623189</v>
      </c>
      <c r="O93" s="9">
        <f t="shared" si="15"/>
        <v>85.357142857142861</v>
      </c>
      <c r="P93" s="3">
        <f t="shared" si="16"/>
        <v>31</v>
      </c>
      <c r="Q93" s="3">
        <f t="shared" si="17"/>
        <v>1</v>
      </c>
      <c r="R93" s="3">
        <f t="shared" si="18"/>
        <v>5</v>
      </c>
      <c r="S93" s="9">
        <f t="shared" si="19"/>
        <v>-0.78778467908902883</v>
      </c>
      <c r="T93" s="9">
        <f t="shared" si="20"/>
        <v>0.44927536231884058</v>
      </c>
      <c r="U93" s="9">
        <f t="shared" si="21"/>
        <v>10.178082191780822</v>
      </c>
      <c r="V93" s="4">
        <f t="shared" si="23"/>
        <v>9.9999999999999645E-2</v>
      </c>
      <c r="W93" s="2">
        <f t="shared" si="24"/>
        <v>2.0000000000000018E-3</v>
      </c>
    </row>
    <row r="94" spans="1:23">
      <c r="A94">
        <v>91</v>
      </c>
      <c r="B94" s="4">
        <f t="shared" si="22"/>
        <v>73.3154296875</v>
      </c>
      <c r="C94" s="4">
        <v>75.099999999999994</v>
      </c>
      <c r="D94" s="4">
        <v>7.4</v>
      </c>
      <c r="E94" s="4">
        <v>0.1</v>
      </c>
      <c r="F94" s="2">
        <v>0.84299999999999997</v>
      </c>
      <c r="G94" s="3">
        <v>5944</v>
      </c>
      <c r="H94" s="3">
        <v>70</v>
      </c>
      <c r="I94" s="3">
        <v>419</v>
      </c>
      <c r="J94" s="3">
        <v>719</v>
      </c>
      <c r="K94" s="3">
        <v>5975</v>
      </c>
      <c r="L94" s="3">
        <v>71</v>
      </c>
      <c r="M94" s="3">
        <v>424</v>
      </c>
      <c r="N94" s="9">
        <f t="shared" si="14"/>
        <v>84.914285714285711</v>
      </c>
      <c r="O94" s="9">
        <f t="shared" si="15"/>
        <v>84.154929577464785</v>
      </c>
      <c r="P94" s="3">
        <f t="shared" si="16"/>
        <v>31</v>
      </c>
      <c r="Q94" s="3">
        <f t="shared" si="17"/>
        <v>1</v>
      </c>
      <c r="R94" s="3">
        <f t="shared" si="18"/>
        <v>5</v>
      </c>
      <c r="S94" s="9">
        <f t="shared" si="19"/>
        <v>-0.75935613682092651</v>
      </c>
      <c r="T94" s="9">
        <f t="shared" si="20"/>
        <v>0.44285714285714284</v>
      </c>
      <c r="U94" s="9">
        <f t="shared" si="21"/>
        <v>10.148648648648647</v>
      </c>
      <c r="V94" s="4">
        <f t="shared" si="23"/>
        <v>0.10000000000000053</v>
      </c>
      <c r="W94" s="2">
        <f t="shared" si="24"/>
        <v>1.0000000000000009E-3</v>
      </c>
    </row>
    <row r="95" spans="1:23">
      <c r="A95">
        <v>92</v>
      </c>
      <c r="B95" s="4">
        <f t="shared" si="22"/>
        <v>74.12109375</v>
      </c>
      <c r="C95" s="4">
        <v>75.900000000000006</v>
      </c>
      <c r="D95" s="4">
        <v>7.5</v>
      </c>
      <c r="E95" s="4">
        <v>0.1</v>
      </c>
      <c r="F95" s="2">
        <v>0.84499999999999997</v>
      </c>
      <c r="G95" s="3">
        <v>5944</v>
      </c>
      <c r="H95" s="3">
        <v>71</v>
      </c>
      <c r="I95" s="3">
        <v>426</v>
      </c>
      <c r="J95" s="3">
        <v>727</v>
      </c>
      <c r="K95" s="3">
        <v>5975</v>
      </c>
      <c r="L95" s="3">
        <v>72</v>
      </c>
      <c r="M95" s="3">
        <v>430</v>
      </c>
      <c r="N95" s="9">
        <f t="shared" si="14"/>
        <v>83.718309859154928</v>
      </c>
      <c r="O95" s="9">
        <f t="shared" si="15"/>
        <v>82.986111111111114</v>
      </c>
      <c r="P95" s="3">
        <f t="shared" si="16"/>
        <v>31</v>
      </c>
      <c r="Q95" s="3">
        <f t="shared" si="17"/>
        <v>1</v>
      </c>
      <c r="R95" s="3">
        <f t="shared" si="18"/>
        <v>4</v>
      </c>
      <c r="S95" s="9">
        <f t="shared" si="19"/>
        <v>-0.73219874804381391</v>
      </c>
      <c r="T95" s="9">
        <f t="shared" si="20"/>
        <v>0.43661971830985913</v>
      </c>
      <c r="U95" s="9">
        <f t="shared" si="21"/>
        <v>10.120000000000001</v>
      </c>
      <c r="V95" s="4">
        <f t="shared" si="23"/>
        <v>9.9999999999999645E-2</v>
      </c>
      <c r="W95" s="2">
        <f t="shared" si="24"/>
        <v>2.0000000000000018E-3</v>
      </c>
    </row>
    <row r="96" spans="1:23">
      <c r="A96">
        <v>93</v>
      </c>
      <c r="B96" s="4">
        <f t="shared" si="22"/>
        <v>74.9267578125</v>
      </c>
      <c r="C96" s="4">
        <v>76.7</v>
      </c>
      <c r="D96" s="4">
        <v>7.6</v>
      </c>
      <c r="E96">
        <v>0.1</v>
      </c>
      <c r="F96" s="2">
        <v>0.84699999999999998</v>
      </c>
      <c r="G96" s="3">
        <v>5944</v>
      </c>
      <c r="H96" s="3">
        <v>72</v>
      </c>
      <c r="I96" s="3">
        <v>434</v>
      </c>
      <c r="J96" s="3">
        <v>739</v>
      </c>
      <c r="K96" s="3">
        <v>5975</v>
      </c>
      <c r="L96" s="3">
        <v>74</v>
      </c>
      <c r="M96" s="3">
        <v>442</v>
      </c>
      <c r="N96" s="9">
        <f t="shared" si="14"/>
        <v>82.555555555555557</v>
      </c>
      <c r="O96" s="9">
        <f t="shared" si="15"/>
        <v>80.743243243243242</v>
      </c>
      <c r="P96" s="3">
        <f t="shared" si="16"/>
        <v>31</v>
      </c>
      <c r="Q96" s="3">
        <f t="shared" si="17"/>
        <v>2</v>
      </c>
      <c r="R96" s="3">
        <f t="shared" si="18"/>
        <v>8</v>
      </c>
      <c r="S96" s="9">
        <f t="shared" si="19"/>
        <v>-1.812312312312315</v>
      </c>
      <c r="T96" s="9">
        <f t="shared" si="20"/>
        <v>0.43055555555555558</v>
      </c>
      <c r="U96" s="9">
        <f t="shared" si="21"/>
        <v>10.092105263157896</v>
      </c>
      <c r="V96" s="4">
        <f t="shared" si="23"/>
        <v>9.9999999999999645E-2</v>
      </c>
      <c r="W96" s="2">
        <f t="shared" si="24"/>
        <v>2.0000000000000018E-3</v>
      </c>
    </row>
    <row r="97" spans="1:23">
      <c r="A97">
        <v>94</v>
      </c>
      <c r="B97" s="4">
        <f t="shared" si="22"/>
        <v>75.732421875</v>
      </c>
      <c r="C97" s="4">
        <v>77.5</v>
      </c>
      <c r="D97" s="4">
        <v>7.7</v>
      </c>
      <c r="E97" s="4">
        <v>0.1</v>
      </c>
      <c r="F97" s="2">
        <v>0.84799999999999998</v>
      </c>
      <c r="G97" s="3">
        <v>5940</v>
      </c>
      <c r="H97" s="3">
        <v>73</v>
      </c>
      <c r="I97" s="3">
        <v>439</v>
      </c>
      <c r="J97" s="3">
        <v>751</v>
      </c>
      <c r="K97" s="3">
        <v>5975</v>
      </c>
      <c r="L97" s="3">
        <v>75</v>
      </c>
      <c r="M97" s="3">
        <v>448</v>
      </c>
      <c r="N97" s="9">
        <f t="shared" si="14"/>
        <v>81.369863013698634</v>
      </c>
      <c r="O97" s="9">
        <f t="shared" si="15"/>
        <v>79.666666666666671</v>
      </c>
      <c r="P97" s="3">
        <f t="shared" si="16"/>
        <v>35</v>
      </c>
      <c r="Q97" s="3">
        <f t="shared" si="17"/>
        <v>2</v>
      </c>
      <c r="R97" s="3">
        <f t="shared" si="18"/>
        <v>9</v>
      </c>
      <c r="S97" s="9">
        <f t="shared" si="19"/>
        <v>-1.7031963470319624</v>
      </c>
      <c r="T97" s="9">
        <f t="shared" si="20"/>
        <v>0.47945205479452052</v>
      </c>
      <c r="U97" s="9">
        <f t="shared" si="21"/>
        <v>10.064935064935066</v>
      </c>
      <c r="V97" s="4">
        <f t="shared" si="23"/>
        <v>0.10000000000000053</v>
      </c>
      <c r="W97" s="2">
        <f t="shared" si="24"/>
        <v>1.0000000000000009E-3</v>
      </c>
    </row>
    <row r="98" spans="1:23">
      <c r="A98">
        <v>95</v>
      </c>
      <c r="B98" s="4">
        <f t="shared" si="22"/>
        <v>76.5380859375</v>
      </c>
      <c r="C98" s="4">
        <v>78.3</v>
      </c>
      <c r="D98" s="4">
        <v>7.8</v>
      </c>
      <c r="E98" s="4">
        <v>0.1</v>
      </c>
      <c r="F98" s="2">
        <v>0.85</v>
      </c>
      <c r="G98" s="3">
        <v>5940</v>
      </c>
      <c r="H98" s="3">
        <v>74</v>
      </c>
      <c r="I98" s="3">
        <v>444</v>
      </c>
      <c r="J98" s="3">
        <v>770</v>
      </c>
      <c r="K98" s="3">
        <v>5975</v>
      </c>
      <c r="L98" s="3">
        <v>76</v>
      </c>
      <c r="M98" s="3">
        <v>454</v>
      </c>
      <c r="N98" s="9">
        <f t="shared" si="14"/>
        <v>80.270270270270274</v>
      </c>
      <c r="O98" s="9">
        <f t="shared" si="15"/>
        <v>78.618421052631575</v>
      </c>
      <c r="P98" s="3">
        <f t="shared" si="16"/>
        <v>35</v>
      </c>
      <c r="Q98" s="3">
        <f t="shared" si="17"/>
        <v>2</v>
      </c>
      <c r="R98" s="3">
        <f t="shared" si="18"/>
        <v>10</v>
      </c>
      <c r="S98" s="9">
        <f t="shared" si="19"/>
        <v>-1.6518492176386985</v>
      </c>
      <c r="T98" s="9">
        <f t="shared" si="20"/>
        <v>0.47297297297297297</v>
      </c>
      <c r="U98" s="9">
        <f t="shared" si="21"/>
        <v>10.038461538461538</v>
      </c>
      <c r="V98" s="4">
        <f t="shared" si="23"/>
        <v>9.9999999999999645E-2</v>
      </c>
      <c r="W98" s="2">
        <f t="shared" si="24"/>
        <v>2.0000000000000018E-3</v>
      </c>
    </row>
    <row r="99" spans="1:23">
      <c r="A99">
        <v>96</v>
      </c>
      <c r="B99" s="4">
        <f t="shared" si="22"/>
        <v>77.34375</v>
      </c>
      <c r="C99" s="4">
        <v>79.2</v>
      </c>
      <c r="D99" s="4">
        <v>7.9</v>
      </c>
      <c r="E99" s="4">
        <v>0.1</v>
      </c>
      <c r="F99" s="2">
        <v>0.85099999999999998</v>
      </c>
      <c r="G99" s="3">
        <v>5940</v>
      </c>
      <c r="H99" s="3">
        <v>75</v>
      </c>
      <c r="I99" s="3">
        <v>450</v>
      </c>
      <c r="J99" s="3">
        <v>772</v>
      </c>
      <c r="K99" s="3">
        <v>5975</v>
      </c>
      <c r="L99" s="3">
        <v>77</v>
      </c>
      <c r="M99" s="3">
        <v>460</v>
      </c>
      <c r="N99" s="9">
        <f t="shared" si="14"/>
        <v>79.2</v>
      </c>
      <c r="O99" s="9">
        <f t="shared" si="15"/>
        <v>77.597402597402592</v>
      </c>
      <c r="P99" s="3">
        <f t="shared" ref="P99:P130" si="25">(K99-G99)</f>
        <v>35</v>
      </c>
      <c r="Q99" s="3">
        <f t="shared" ref="Q99:Q130" si="26">(L99-H99)</f>
        <v>2</v>
      </c>
      <c r="R99" s="3">
        <f t="shared" ref="R99:R130" si="27">(M99-I99)</f>
        <v>10</v>
      </c>
      <c r="S99" s="9">
        <f t="shared" si="19"/>
        <v>-1.6025974025974108</v>
      </c>
      <c r="T99" s="9">
        <f t="shared" si="20"/>
        <v>0.46666666666666667</v>
      </c>
      <c r="U99" s="9">
        <f t="shared" si="21"/>
        <v>10.025316455696203</v>
      </c>
      <c r="V99" s="4">
        <f t="shared" si="23"/>
        <v>0.10000000000000053</v>
      </c>
      <c r="W99" s="2">
        <f t="shared" si="24"/>
        <v>1.0000000000000009E-3</v>
      </c>
    </row>
    <row r="100" spans="1:23">
      <c r="A100">
        <v>97</v>
      </c>
      <c r="B100" s="4">
        <f t="shared" si="22"/>
        <v>78.1494140625</v>
      </c>
      <c r="C100" s="4">
        <v>80</v>
      </c>
      <c r="D100" s="4">
        <v>8</v>
      </c>
      <c r="E100" s="4">
        <v>0.1</v>
      </c>
      <c r="F100" s="2">
        <v>0.85299999999999998</v>
      </c>
      <c r="G100" s="3">
        <v>5940</v>
      </c>
      <c r="H100" s="3">
        <v>76</v>
      </c>
      <c r="I100" s="3">
        <v>456</v>
      </c>
      <c r="J100" s="3">
        <v>790</v>
      </c>
      <c r="K100" s="3">
        <v>5975</v>
      </c>
      <c r="L100" s="3">
        <v>78</v>
      </c>
      <c r="M100" s="3">
        <v>466</v>
      </c>
      <c r="N100" s="9">
        <f t="shared" si="14"/>
        <v>78.15789473684211</v>
      </c>
      <c r="O100" s="9">
        <f t="shared" si="15"/>
        <v>76.602564102564102</v>
      </c>
      <c r="P100" s="3">
        <f t="shared" si="25"/>
        <v>35</v>
      </c>
      <c r="Q100" s="3">
        <f t="shared" si="26"/>
        <v>2</v>
      </c>
      <c r="R100" s="3">
        <f t="shared" si="27"/>
        <v>10</v>
      </c>
      <c r="S100" s="9">
        <f t="shared" si="19"/>
        <v>-1.5553306342780076</v>
      </c>
      <c r="T100" s="9">
        <f t="shared" si="20"/>
        <v>0.46052631578947367</v>
      </c>
      <c r="U100" s="9">
        <f t="shared" si="21"/>
        <v>10</v>
      </c>
      <c r="V100" s="4">
        <f t="shared" si="23"/>
        <v>9.9999999999999645E-2</v>
      </c>
      <c r="W100" s="2">
        <f t="shared" si="24"/>
        <v>2.0000000000000018E-3</v>
      </c>
    </row>
    <row r="101" spans="1:23">
      <c r="A101">
        <v>98</v>
      </c>
      <c r="B101" s="4">
        <f t="shared" si="22"/>
        <v>78.955078125</v>
      </c>
      <c r="C101" s="4">
        <v>80.8</v>
      </c>
      <c r="D101" s="4">
        <v>8.1999999999999993</v>
      </c>
      <c r="E101" s="4">
        <v>0.1</v>
      </c>
      <c r="F101" s="2">
        <v>0.85399999999999998</v>
      </c>
      <c r="G101" s="3">
        <v>5940</v>
      </c>
      <c r="H101" s="3">
        <v>77</v>
      </c>
      <c r="I101" s="3">
        <v>461</v>
      </c>
      <c r="J101" s="3">
        <v>790</v>
      </c>
      <c r="K101" s="3">
        <v>5975</v>
      </c>
      <c r="L101" s="3">
        <v>79</v>
      </c>
      <c r="M101" s="3">
        <v>472</v>
      </c>
      <c r="N101" s="9">
        <f t="shared" si="14"/>
        <v>77.142857142857139</v>
      </c>
      <c r="O101" s="9">
        <f t="shared" si="15"/>
        <v>75.632911392405063</v>
      </c>
      <c r="P101" s="3">
        <f t="shared" si="25"/>
        <v>35</v>
      </c>
      <c r="Q101" s="3">
        <f t="shared" si="26"/>
        <v>2</v>
      </c>
      <c r="R101" s="3">
        <f t="shared" si="27"/>
        <v>11</v>
      </c>
      <c r="S101" s="9">
        <f t="shared" si="19"/>
        <v>-1.5099457504520757</v>
      </c>
      <c r="T101" s="9">
        <f t="shared" si="20"/>
        <v>0.45454545454545453</v>
      </c>
      <c r="U101" s="9">
        <f t="shared" si="21"/>
        <v>9.8536585365853657</v>
      </c>
      <c r="V101" s="4">
        <f t="shared" si="23"/>
        <v>0.19999999999999929</v>
      </c>
      <c r="W101" s="2">
        <f t="shared" si="24"/>
        <v>1.0000000000000009E-3</v>
      </c>
    </row>
    <row r="102" spans="1:23">
      <c r="A102">
        <v>99</v>
      </c>
      <c r="B102" s="4">
        <f t="shared" si="22"/>
        <v>79.7607421875</v>
      </c>
      <c r="C102" s="4">
        <v>81.599999999999994</v>
      </c>
      <c r="D102" s="4">
        <v>8.3000000000000007</v>
      </c>
      <c r="E102" s="4">
        <v>0.1</v>
      </c>
      <c r="F102" s="2">
        <v>0.85599999999999998</v>
      </c>
      <c r="G102" s="3">
        <v>5940</v>
      </c>
      <c r="H102" s="3">
        <v>79</v>
      </c>
      <c r="I102" s="3">
        <v>473</v>
      </c>
      <c r="J102" s="3">
        <v>802</v>
      </c>
      <c r="K102" s="3">
        <v>5975</v>
      </c>
      <c r="L102" s="3">
        <v>80</v>
      </c>
      <c r="M102" s="3">
        <v>478</v>
      </c>
      <c r="N102" s="9">
        <f t="shared" si="14"/>
        <v>75.189873417721515</v>
      </c>
      <c r="O102" s="9">
        <f t="shared" si="15"/>
        <v>74.6875</v>
      </c>
      <c r="P102" s="3">
        <f t="shared" si="25"/>
        <v>35</v>
      </c>
      <c r="Q102" s="3">
        <f t="shared" si="26"/>
        <v>1</v>
      </c>
      <c r="R102" s="3">
        <f t="shared" si="27"/>
        <v>5</v>
      </c>
      <c r="S102" s="9">
        <f t="shared" si="19"/>
        <v>-0.50237341772151467</v>
      </c>
      <c r="T102" s="9">
        <f t="shared" si="20"/>
        <v>0.44303797468354428</v>
      </c>
      <c r="U102" s="9">
        <f t="shared" si="21"/>
        <v>9.8313253012048172</v>
      </c>
      <c r="V102" s="4">
        <f t="shared" si="23"/>
        <v>0.10000000000000142</v>
      </c>
      <c r="W102" s="2">
        <f t="shared" si="24"/>
        <v>2.0000000000000018E-3</v>
      </c>
    </row>
    <row r="103" spans="1:23">
      <c r="A103">
        <v>100</v>
      </c>
      <c r="B103" s="4">
        <f t="shared" si="22"/>
        <v>80.56640625</v>
      </c>
      <c r="C103" s="4">
        <v>82.4</v>
      </c>
      <c r="D103" s="4">
        <v>8.4</v>
      </c>
      <c r="E103" s="4">
        <v>0.1</v>
      </c>
      <c r="F103" s="2">
        <v>0.85699999999999998</v>
      </c>
      <c r="G103" s="3">
        <v>5936</v>
      </c>
      <c r="H103" s="3">
        <v>80</v>
      </c>
      <c r="I103" s="3">
        <v>479</v>
      </c>
      <c r="J103" s="3">
        <v>816</v>
      </c>
      <c r="K103" s="3">
        <v>5975</v>
      </c>
      <c r="L103" s="3">
        <v>81</v>
      </c>
      <c r="M103" s="3">
        <v>484</v>
      </c>
      <c r="N103" s="9">
        <f t="shared" si="14"/>
        <v>74.2</v>
      </c>
      <c r="O103" s="9">
        <f t="shared" si="15"/>
        <v>73.76543209876543</v>
      </c>
      <c r="P103" s="3">
        <f t="shared" si="25"/>
        <v>39</v>
      </c>
      <c r="Q103" s="3">
        <f t="shared" si="26"/>
        <v>1</v>
      </c>
      <c r="R103" s="3">
        <f t="shared" si="27"/>
        <v>5</v>
      </c>
      <c r="S103" s="9">
        <f t="shared" si="19"/>
        <v>-0.43456790123457267</v>
      </c>
      <c r="T103" s="9">
        <f t="shared" si="20"/>
        <v>0.48749999999999999</v>
      </c>
      <c r="U103" s="9">
        <f t="shared" si="21"/>
        <v>9.8095238095238102</v>
      </c>
      <c r="V103" s="4">
        <f t="shared" si="23"/>
        <v>9.9999999999999645E-2</v>
      </c>
      <c r="W103" s="2">
        <f t="shared" si="24"/>
        <v>1.0000000000000009E-3</v>
      </c>
    </row>
    <row r="104" spans="1:23">
      <c r="A104">
        <v>101</v>
      </c>
      <c r="B104" s="4">
        <f t="shared" si="22"/>
        <v>81.3720703125</v>
      </c>
      <c r="C104" s="4">
        <v>83.3</v>
      </c>
      <c r="D104" s="4">
        <v>8.5</v>
      </c>
      <c r="E104" s="4">
        <v>0.1</v>
      </c>
      <c r="F104" s="2">
        <v>0.85899999999999999</v>
      </c>
      <c r="G104" s="3">
        <v>5936</v>
      </c>
      <c r="H104" s="3">
        <v>81</v>
      </c>
      <c r="I104" s="3">
        <v>485</v>
      </c>
      <c r="J104" s="3">
        <v>832</v>
      </c>
      <c r="K104" s="3">
        <v>5975</v>
      </c>
      <c r="L104" s="3">
        <v>82</v>
      </c>
      <c r="M104" s="3">
        <v>490</v>
      </c>
      <c r="N104" s="9">
        <f t="shared" si="14"/>
        <v>73.283950617283949</v>
      </c>
      <c r="O104" s="9">
        <f t="shared" si="15"/>
        <v>72.865853658536579</v>
      </c>
      <c r="P104" s="3">
        <f t="shared" si="25"/>
        <v>39</v>
      </c>
      <c r="Q104" s="3">
        <f t="shared" si="26"/>
        <v>1</v>
      </c>
      <c r="R104" s="3">
        <f t="shared" si="27"/>
        <v>5</v>
      </c>
      <c r="S104" s="9">
        <f t="shared" si="19"/>
        <v>-0.41809695874736974</v>
      </c>
      <c r="T104" s="9">
        <f t="shared" si="20"/>
        <v>0.48148148148148145</v>
      </c>
      <c r="U104" s="9">
        <f t="shared" si="21"/>
        <v>9.7999999999999989</v>
      </c>
      <c r="V104" s="4">
        <f t="shared" si="23"/>
        <v>9.9999999999999645E-2</v>
      </c>
      <c r="W104" s="2">
        <f t="shared" si="24"/>
        <v>2.0000000000000018E-3</v>
      </c>
    </row>
    <row r="105" spans="1:23">
      <c r="A105">
        <v>102</v>
      </c>
      <c r="B105" s="4">
        <f t="shared" si="22"/>
        <v>82.177734375</v>
      </c>
      <c r="C105" s="4">
        <v>84</v>
      </c>
      <c r="D105" s="4">
        <v>8.6</v>
      </c>
      <c r="E105" s="4">
        <v>0.1</v>
      </c>
      <c r="F105" s="2">
        <v>0.86</v>
      </c>
      <c r="G105" s="3">
        <v>5936</v>
      </c>
      <c r="H105" s="3">
        <v>82</v>
      </c>
      <c r="I105" s="3">
        <v>491</v>
      </c>
      <c r="J105" s="3">
        <v>835</v>
      </c>
      <c r="K105" s="3">
        <v>5975</v>
      </c>
      <c r="L105" s="3">
        <v>83</v>
      </c>
      <c r="M105" s="3">
        <v>496</v>
      </c>
      <c r="N105" s="9">
        <f t="shared" si="14"/>
        <v>72.390243902439025</v>
      </c>
      <c r="O105" s="9">
        <f t="shared" si="15"/>
        <v>71.98795180722891</v>
      </c>
      <c r="P105" s="3">
        <f t="shared" si="25"/>
        <v>39</v>
      </c>
      <c r="Q105" s="3">
        <f t="shared" si="26"/>
        <v>1</v>
      </c>
      <c r="R105" s="3">
        <f t="shared" si="27"/>
        <v>5</v>
      </c>
      <c r="S105" s="9">
        <f t="shared" si="19"/>
        <v>-0.40229209521011455</v>
      </c>
      <c r="T105" s="9">
        <f t="shared" si="20"/>
        <v>0.47560975609756095</v>
      </c>
      <c r="U105" s="9">
        <f t="shared" si="21"/>
        <v>9.7674418604651159</v>
      </c>
      <c r="V105" s="4">
        <f t="shared" si="23"/>
        <v>9.9999999999999645E-2</v>
      </c>
      <c r="W105" s="2">
        <f t="shared" si="24"/>
        <v>1.0000000000000009E-3</v>
      </c>
    </row>
    <row r="106" spans="1:23">
      <c r="A106">
        <v>103</v>
      </c>
      <c r="B106" s="4">
        <f t="shared" si="22"/>
        <v>82.9833984375</v>
      </c>
      <c r="C106" s="4">
        <v>84.9</v>
      </c>
      <c r="D106" s="4">
        <v>8.6999999999999993</v>
      </c>
      <c r="E106" s="4">
        <v>0.1</v>
      </c>
      <c r="F106" s="2">
        <v>0.86099999999999999</v>
      </c>
      <c r="G106" s="3">
        <v>5936</v>
      </c>
      <c r="H106" s="3">
        <v>83</v>
      </c>
      <c r="I106" s="3">
        <v>498</v>
      </c>
      <c r="J106" s="3">
        <v>852</v>
      </c>
      <c r="K106" s="3">
        <v>5975</v>
      </c>
      <c r="L106" s="3">
        <v>84</v>
      </c>
      <c r="M106" s="3">
        <v>502</v>
      </c>
      <c r="N106" s="9">
        <f t="shared" si="14"/>
        <v>71.518072289156621</v>
      </c>
      <c r="O106" s="9">
        <f t="shared" si="15"/>
        <v>71.13095238095238</v>
      </c>
      <c r="P106" s="3">
        <f t="shared" si="25"/>
        <v>39</v>
      </c>
      <c r="Q106" s="3">
        <f t="shared" si="26"/>
        <v>1</v>
      </c>
      <c r="R106" s="3">
        <f t="shared" si="27"/>
        <v>4</v>
      </c>
      <c r="S106" s="9">
        <f t="shared" si="19"/>
        <v>-0.38711990820424091</v>
      </c>
      <c r="T106" s="9">
        <f t="shared" si="20"/>
        <v>0.46987951807228917</v>
      </c>
      <c r="U106" s="9">
        <f t="shared" si="21"/>
        <v>9.7586206896551744</v>
      </c>
      <c r="V106" s="4">
        <f t="shared" si="23"/>
        <v>9.9999999999999645E-2</v>
      </c>
      <c r="W106" s="2">
        <f t="shared" si="24"/>
        <v>1.0000000000000009E-3</v>
      </c>
    </row>
    <row r="107" spans="1:23">
      <c r="A107">
        <v>104</v>
      </c>
      <c r="B107" s="4">
        <f t="shared" si="22"/>
        <v>83.7890625</v>
      </c>
      <c r="C107" s="4">
        <v>85.6</v>
      </c>
      <c r="D107" s="4">
        <v>8.8000000000000007</v>
      </c>
      <c r="E107" s="4">
        <v>0.1</v>
      </c>
      <c r="F107" s="2">
        <v>0.86299999999999999</v>
      </c>
      <c r="G107" s="3">
        <v>5936</v>
      </c>
      <c r="H107" s="3">
        <v>84</v>
      </c>
      <c r="I107" s="3">
        <v>501</v>
      </c>
      <c r="J107" s="3">
        <v>866</v>
      </c>
      <c r="K107" s="3">
        <v>5975</v>
      </c>
      <c r="L107" s="3">
        <v>85</v>
      </c>
      <c r="M107" s="3">
        <v>508</v>
      </c>
      <c r="N107" s="9">
        <f t="shared" si="14"/>
        <v>70.666666666666671</v>
      </c>
      <c r="O107" s="9">
        <f t="shared" si="15"/>
        <v>70.294117647058826</v>
      </c>
      <c r="P107" s="3">
        <f t="shared" si="25"/>
        <v>39</v>
      </c>
      <c r="Q107" s="3">
        <f t="shared" si="26"/>
        <v>1</v>
      </c>
      <c r="R107" s="3">
        <f t="shared" si="27"/>
        <v>7</v>
      </c>
      <c r="S107" s="9">
        <f t="shared" si="19"/>
        <v>-0.37254901960784537</v>
      </c>
      <c r="T107" s="9">
        <f t="shared" si="20"/>
        <v>0.4642857142857143</v>
      </c>
      <c r="U107" s="9">
        <f t="shared" si="21"/>
        <v>9.7272727272727266</v>
      </c>
      <c r="V107" s="4">
        <f t="shared" si="23"/>
        <v>0.10000000000000142</v>
      </c>
      <c r="W107" s="2">
        <f t="shared" si="24"/>
        <v>2.0000000000000018E-3</v>
      </c>
    </row>
    <row r="108" spans="1:23">
      <c r="A108">
        <v>105</v>
      </c>
      <c r="B108" s="4">
        <f t="shared" si="22"/>
        <v>84.5947265625</v>
      </c>
      <c r="C108" s="4">
        <v>86.4</v>
      </c>
      <c r="D108" s="4">
        <v>8.9</v>
      </c>
      <c r="E108" s="4">
        <v>0.1</v>
      </c>
      <c r="F108" s="2">
        <v>0.86399999999999999</v>
      </c>
      <c r="G108" s="3">
        <v>5936</v>
      </c>
      <c r="H108" s="3">
        <v>85</v>
      </c>
      <c r="I108" s="3">
        <v>506</v>
      </c>
      <c r="J108" s="3">
        <v>875</v>
      </c>
      <c r="K108" s="3">
        <v>5975</v>
      </c>
      <c r="L108" s="3">
        <v>86</v>
      </c>
      <c r="M108" s="3">
        <v>514</v>
      </c>
      <c r="N108" s="9">
        <f t="shared" si="14"/>
        <v>69.835294117647052</v>
      </c>
      <c r="O108" s="9">
        <f t="shared" si="15"/>
        <v>69.476744186046517</v>
      </c>
      <c r="P108" s="3">
        <f t="shared" si="25"/>
        <v>39</v>
      </c>
      <c r="Q108" s="3">
        <f t="shared" si="26"/>
        <v>1</v>
      </c>
      <c r="R108" s="3">
        <f t="shared" si="27"/>
        <v>8</v>
      </c>
      <c r="S108" s="9">
        <f t="shared" si="19"/>
        <v>-0.35854993160053539</v>
      </c>
      <c r="T108" s="9">
        <f t="shared" si="20"/>
        <v>0.45882352941176469</v>
      </c>
      <c r="U108" s="9">
        <f t="shared" si="21"/>
        <v>9.7078651685393265</v>
      </c>
      <c r="V108" s="4">
        <f t="shared" si="23"/>
        <v>9.9999999999999645E-2</v>
      </c>
      <c r="W108" s="2">
        <f t="shared" si="24"/>
        <v>1.0000000000000009E-3</v>
      </c>
    </row>
    <row r="109" spans="1:23">
      <c r="A109">
        <v>106</v>
      </c>
      <c r="B109" s="4">
        <f t="shared" si="22"/>
        <v>85.400390625</v>
      </c>
      <c r="C109" s="4">
        <v>87.3</v>
      </c>
      <c r="D109" s="4">
        <v>9</v>
      </c>
      <c r="E109" s="4">
        <v>0.1</v>
      </c>
      <c r="F109" s="2">
        <v>0.86499999999999999</v>
      </c>
      <c r="G109" s="3">
        <v>5936</v>
      </c>
      <c r="H109" s="3">
        <v>86</v>
      </c>
      <c r="I109" s="3">
        <v>510</v>
      </c>
      <c r="J109" s="3">
        <v>886</v>
      </c>
      <c r="K109" s="3">
        <v>5975</v>
      </c>
      <c r="L109" s="3">
        <v>87</v>
      </c>
      <c r="M109" s="3">
        <v>520</v>
      </c>
      <c r="N109" s="9">
        <f t="shared" si="14"/>
        <v>69.023255813953483</v>
      </c>
      <c r="O109" s="9">
        <f t="shared" si="15"/>
        <v>68.678160919540232</v>
      </c>
      <c r="P109" s="3">
        <f t="shared" si="25"/>
        <v>39</v>
      </c>
      <c r="Q109" s="3">
        <f t="shared" si="26"/>
        <v>1</v>
      </c>
      <c r="R109" s="3">
        <f t="shared" si="27"/>
        <v>10</v>
      </c>
      <c r="S109" s="9">
        <f t="shared" si="19"/>
        <v>-0.34509489441325059</v>
      </c>
      <c r="T109" s="9">
        <f t="shared" si="20"/>
        <v>0.45348837209302323</v>
      </c>
      <c r="U109" s="9">
        <f t="shared" si="21"/>
        <v>9.6999999999999993</v>
      </c>
      <c r="V109" s="4">
        <f t="shared" si="23"/>
        <v>9.9999999999999645E-2</v>
      </c>
      <c r="W109" s="2">
        <f t="shared" si="24"/>
        <v>1.0000000000000009E-3</v>
      </c>
    </row>
    <row r="110" spans="1:23">
      <c r="A110">
        <v>107</v>
      </c>
      <c r="B110" s="4">
        <f t="shared" si="22"/>
        <v>86.2060546875</v>
      </c>
      <c r="C110" s="4">
        <v>88.1</v>
      </c>
      <c r="D110" s="4">
        <v>9.1</v>
      </c>
      <c r="E110" s="4">
        <v>0.1</v>
      </c>
      <c r="F110" s="2">
        <v>0.86599999999999999</v>
      </c>
      <c r="G110" s="3">
        <v>5932</v>
      </c>
      <c r="H110" s="3">
        <v>87</v>
      </c>
      <c r="I110" s="3">
        <v>520</v>
      </c>
      <c r="J110" s="3">
        <v>886</v>
      </c>
      <c r="K110" s="3">
        <v>5975</v>
      </c>
      <c r="L110" s="3">
        <v>88</v>
      </c>
      <c r="M110" s="3">
        <v>526</v>
      </c>
      <c r="N110" s="9">
        <f t="shared" si="14"/>
        <v>68.183908045977006</v>
      </c>
      <c r="O110" s="9">
        <f t="shared" si="15"/>
        <v>67.897727272727266</v>
      </c>
      <c r="P110" s="3">
        <f t="shared" si="25"/>
        <v>43</v>
      </c>
      <c r="Q110" s="3">
        <f t="shared" si="26"/>
        <v>1</v>
      </c>
      <c r="R110" s="3">
        <f t="shared" si="27"/>
        <v>6</v>
      </c>
      <c r="S110" s="9">
        <f t="shared" si="19"/>
        <v>-0.28618077324973967</v>
      </c>
      <c r="T110" s="9">
        <f t="shared" si="20"/>
        <v>0.4942528735632184</v>
      </c>
      <c r="U110" s="9">
        <f t="shared" si="21"/>
        <v>9.6813186813186807</v>
      </c>
      <c r="V110" s="4">
        <f t="shared" si="23"/>
        <v>9.9999999999999645E-2</v>
      </c>
      <c r="W110" s="2">
        <f t="shared" si="24"/>
        <v>1.0000000000000009E-3</v>
      </c>
    </row>
    <row r="111" spans="1:23">
      <c r="A111">
        <v>108</v>
      </c>
      <c r="B111" s="4">
        <f t="shared" si="22"/>
        <v>87.01171875</v>
      </c>
      <c r="C111" s="4">
        <v>88.9</v>
      </c>
      <c r="D111" s="4">
        <v>9.1999999999999993</v>
      </c>
      <c r="E111" s="4">
        <v>0.1</v>
      </c>
      <c r="F111" s="2">
        <v>0.86799999999999999</v>
      </c>
      <c r="G111" s="3">
        <v>5936</v>
      </c>
      <c r="H111" s="3">
        <v>88</v>
      </c>
      <c r="I111" s="3">
        <v>522</v>
      </c>
      <c r="J111" s="3">
        <v>910</v>
      </c>
      <c r="K111" s="3">
        <v>5975</v>
      </c>
      <c r="L111" s="3">
        <v>89</v>
      </c>
      <c r="M111" s="3">
        <v>532</v>
      </c>
      <c r="N111" s="9">
        <f t="shared" si="14"/>
        <v>67.454545454545453</v>
      </c>
      <c r="O111" s="9">
        <f t="shared" si="15"/>
        <v>67.134831460674164</v>
      </c>
      <c r="P111" s="3">
        <f t="shared" si="25"/>
        <v>39</v>
      </c>
      <c r="Q111" s="3">
        <f t="shared" si="26"/>
        <v>1</v>
      </c>
      <c r="R111" s="3">
        <f t="shared" si="27"/>
        <v>10</v>
      </c>
      <c r="S111" s="9">
        <f t="shared" si="19"/>
        <v>-0.3197139938712894</v>
      </c>
      <c r="T111" s="9">
        <f t="shared" si="20"/>
        <v>0.44318181818181818</v>
      </c>
      <c r="U111" s="9">
        <f t="shared" si="21"/>
        <v>9.663043478260871</v>
      </c>
      <c r="V111" s="4">
        <f t="shared" si="23"/>
        <v>9.9999999999999645E-2</v>
      </c>
      <c r="W111" s="2">
        <f t="shared" si="24"/>
        <v>2.0000000000000018E-3</v>
      </c>
    </row>
    <row r="112" spans="1:23">
      <c r="A112">
        <v>109</v>
      </c>
      <c r="B112" s="4">
        <f t="shared" si="22"/>
        <v>87.8173828125</v>
      </c>
      <c r="C112" s="4">
        <v>89.7</v>
      </c>
      <c r="D112" s="4">
        <v>9.3000000000000007</v>
      </c>
      <c r="E112" s="4">
        <v>0.1</v>
      </c>
      <c r="F112" s="2">
        <v>0.86899999999999999</v>
      </c>
      <c r="G112" s="3">
        <v>5932</v>
      </c>
      <c r="H112" s="3">
        <v>89</v>
      </c>
      <c r="I112" s="3">
        <v>533</v>
      </c>
      <c r="J112" s="3">
        <v>917</v>
      </c>
      <c r="K112" s="3">
        <v>5975</v>
      </c>
      <c r="L112" s="3">
        <v>90</v>
      </c>
      <c r="M112" s="3">
        <v>538</v>
      </c>
      <c r="N112" s="9">
        <f t="shared" si="14"/>
        <v>66.651685393258433</v>
      </c>
      <c r="O112" s="9">
        <f t="shared" si="15"/>
        <v>66.388888888888886</v>
      </c>
      <c r="P112" s="3">
        <f t="shared" si="25"/>
        <v>43</v>
      </c>
      <c r="Q112" s="3">
        <f t="shared" si="26"/>
        <v>1</v>
      </c>
      <c r="R112" s="3">
        <f t="shared" si="27"/>
        <v>5</v>
      </c>
      <c r="S112" s="9">
        <f t="shared" si="19"/>
        <v>-0.26279650436954682</v>
      </c>
      <c r="T112" s="9">
        <f t="shared" si="20"/>
        <v>0.48314606741573035</v>
      </c>
      <c r="U112" s="9">
        <f t="shared" si="21"/>
        <v>9.6451612903225801</v>
      </c>
      <c r="V112" s="4">
        <f t="shared" si="23"/>
        <v>0.10000000000000142</v>
      </c>
      <c r="W112" s="2">
        <f t="shared" si="24"/>
        <v>1.0000000000000009E-3</v>
      </c>
    </row>
    <row r="113" spans="1:23">
      <c r="A113">
        <v>110</v>
      </c>
      <c r="B113" s="4">
        <f t="shared" si="22"/>
        <v>88.623046875</v>
      </c>
      <c r="C113" s="4">
        <v>90.5</v>
      </c>
      <c r="D113" s="4">
        <v>9.4</v>
      </c>
      <c r="E113" s="4">
        <v>0.1</v>
      </c>
      <c r="F113" s="2">
        <v>0.87</v>
      </c>
      <c r="G113" s="3">
        <v>5932</v>
      </c>
      <c r="H113" s="3">
        <v>90</v>
      </c>
      <c r="I113" s="3">
        <v>539</v>
      </c>
      <c r="J113" s="3">
        <v>930</v>
      </c>
      <c r="K113" s="3">
        <v>5975</v>
      </c>
      <c r="L113" s="3">
        <v>91</v>
      </c>
      <c r="M113" s="3">
        <v>544</v>
      </c>
      <c r="N113" s="9">
        <f t="shared" si="14"/>
        <v>65.911111111111111</v>
      </c>
      <c r="O113" s="9">
        <f t="shared" si="15"/>
        <v>65.659340659340657</v>
      </c>
      <c r="P113" s="3">
        <f t="shared" si="25"/>
        <v>43</v>
      </c>
      <c r="Q113" s="3">
        <f t="shared" si="26"/>
        <v>1</v>
      </c>
      <c r="R113" s="3">
        <f t="shared" si="27"/>
        <v>5</v>
      </c>
      <c r="S113" s="9">
        <f t="shared" si="19"/>
        <v>-0.25177045177045443</v>
      </c>
      <c r="T113" s="9">
        <f t="shared" si="20"/>
        <v>0.4777777777777778</v>
      </c>
      <c r="U113" s="9">
        <f t="shared" si="21"/>
        <v>9.6276595744680851</v>
      </c>
      <c r="V113" s="4">
        <f t="shared" si="23"/>
        <v>9.9999999999999645E-2</v>
      </c>
      <c r="W113" s="2">
        <f t="shared" si="24"/>
        <v>1.0000000000000009E-3</v>
      </c>
    </row>
    <row r="114" spans="1:23">
      <c r="A114">
        <v>111</v>
      </c>
      <c r="B114" s="4">
        <f t="shared" si="22"/>
        <v>89.4287109375</v>
      </c>
      <c r="C114" s="4">
        <v>91.3</v>
      </c>
      <c r="D114" s="4">
        <v>9.5</v>
      </c>
      <c r="E114" s="4">
        <v>0.1</v>
      </c>
      <c r="F114" s="2">
        <v>0.871</v>
      </c>
      <c r="G114" s="3">
        <v>5932</v>
      </c>
      <c r="H114" s="3">
        <v>91</v>
      </c>
      <c r="I114" s="3">
        <v>544</v>
      </c>
      <c r="J114" s="3">
        <v>937</v>
      </c>
      <c r="K114" s="3">
        <v>5975</v>
      </c>
      <c r="L114" s="3">
        <v>92</v>
      </c>
      <c r="M114" s="3">
        <v>550</v>
      </c>
      <c r="N114" s="9">
        <f t="shared" si="14"/>
        <v>65.186813186813183</v>
      </c>
      <c r="O114" s="9">
        <f t="shared" si="15"/>
        <v>64.945652173913047</v>
      </c>
      <c r="P114" s="3">
        <f t="shared" si="25"/>
        <v>43</v>
      </c>
      <c r="Q114" s="3">
        <f t="shared" si="26"/>
        <v>1</v>
      </c>
      <c r="R114" s="3">
        <f t="shared" si="27"/>
        <v>6</v>
      </c>
      <c r="S114" s="9">
        <f t="shared" si="19"/>
        <v>-0.24116101290013603</v>
      </c>
      <c r="T114" s="9">
        <f t="shared" si="20"/>
        <v>0.47252747252747251</v>
      </c>
      <c r="U114" s="9">
        <f t="shared" si="21"/>
        <v>9.6105263157894729</v>
      </c>
      <c r="V114" s="4">
        <f t="shared" si="23"/>
        <v>9.9999999999999645E-2</v>
      </c>
      <c r="W114" s="2">
        <f t="shared" si="24"/>
        <v>1.0000000000000009E-3</v>
      </c>
    </row>
    <row r="115" spans="1:23">
      <c r="A115">
        <v>112</v>
      </c>
      <c r="B115" s="4">
        <f t="shared" si="22"/>
        <v>90.234375</v>
      </c>
      <c r="C115" s="4">
        <v>92.1</v>
      </c>
      <c r="D115" s="4">
        <v>9.6</v>
      </c>
      <c r="E115" s="4">
        <v>0.1</v>
      </c>
      <c r="F115" s="2">
        <v>0.872</v>
      </c>
      <c r="G115" s="3">
        <v>5932</v>
      </c>
      <c r="H115" s="3">
        <v>91</v>
      </c>
      <c r="I115" s="3">
        <v>544</v>
      </c>
      <c r="J115" s="3">
        <v>941</v>
      </c>
      <c r="K115" s="3">
        <v>5975</v>
      </c>
      <c r="L115" s="3">
        <v>93</v>
      </c>
      <c r="M115" s="3">
        <v>556</v>
      </c>
      <c r="N115" s="9">
        <f t="shared" si="14"/>
        <v>65.186813186813183</v>
      </c>
      <c r="O115" s="9">
        <f t="shared" si="15"/>
        <v>64.247311827956992</v>
      </c>
      <c r="P115" s="3">
        <f t="shared" si="25"/>
        <v>43</v>
      </c>
      <c r="Q115" s="3">
        <f t="shared" si="26"/>
        <v>2</v>
      </c>
      <c r="R115" s="3">
        <f t="shared" si="27"/>
        <v>12</v>
      </c>
      <c r="S115" s="9">
        <f t="shared" si="19"/>
        <v>-0.9395013588561909</v>
      </c>
      <c r="T115" s="9">
        <f t="shared" si="20"/>
        <v>0.47252747252747251</v>
      </c>
      <c r="U115" s="9">
        <f t="shared" si="21"/>
        <v>9.59375</v>
      </c>
      <c r="V115" s="4">
        <f t="shared" si="23"/>
        <v>9.9999999999999645E-2</v>
      </c>
      <c r="W115" s="2">
        <f t="shared" si="24"/>
        <v>1.0000000000000009E-3</v>
      </c>
    </row>
    <row r="116" spans="1:23">
      <c r="A116">
        <v>113</v>
      </c>
      <c r="B116" s="4">
        <f t="shared" si="22"/>
        <v>91.0400390625</v>
      </c>
      <c r="C116" s="4">
        <v>92.9</v>
      </c>
      <c r="D116" s="4">
        <v>9.6999999999999993</v>
      </c>
      <c r="E116" s="4">
        <v>0.1</v>
      </c>
      <c r="F116" s="2">
        <v>0.873</v>
      </c>
      <c r="G116" s="3">
        <v>5932</v>
      </c>
      <c r="H116" s="3">
        <v>92</v>
      </c>
      <c r="I116" s="3">
        <v>550</v>
      </c>
      <c r="J116" s="3">
        <v>950</v>
      </c>
      <c r="K116" s="3">
        <v>5975</v>
      </c>
      <c r="L116" s="3">
        <v>94</v>
      </c>
      <c r="M116" s="3">
        <v>562</v>
      </c>
      <c r="N116" s="9">
        <f t="shared" si="14"/>
        <v>64.478260869565219</v>
      </c>
      <c r="O116" s="9">
        <f t="shared" si="15"/>
        <v>63.563829787234042</v>
      </c>
      <c r="P116" s="3">
        <f t="shared" si="25"/>
        <v>43</v>
      </c>
      <c r="Q116" s="3">
        <f t="shared" si="26"/>
        <v>2</v>
      </c>
      <c r="R116" s="3">
        <f t="shared" si="27"/>
        <v>12</v>
      </c>
      <c r="S116" s="9">
        <f t="shared" si="19"/>
        <v>-0.91443108233117698</v>
      </c>
      <c r="T116" s="9">
        <f t="shared" si="20"/>
        <v>0.46739130434782611</v>
      </c>
      <c r="U116" s="9">
        <f t="shared" si="21"/>
        <v>9.5773195876288675</v>
      </c>
      <c r="V116" s="4">
        <f t="shared" si="23"/>
        <v>9.9999999999999645E-2</v>
      </c>
      <c r="W116" s="2">
        <f t="shared" si="24"/>
        <v>1.0000000000000009E-3</v>
      </c>
    </row>
    <row r="117" spans="1:23">
      <c r="A117">
        <v>114</v>
      </c>
      <c r="B117" s="4">
        <f t="shared" si="22"/>
        <v>91.845703125</v>
      </c>
      <c r="C117" s="4">
        <v>93.7</v>
      </c>
      <c r="D117" s="4">
        <v>9.8000000000000007</v>
      </c>
      <c r="E117" s="4">
        <v>0.1</v>
      </c>
      <c r="F117" s="2">
        <v>0.874</v>
      </c>
      <c r="G117" s="3">
        <v>5932</v>
      </c>
      <c r="H117" s="3">
        <v>93</v>
      </c>
      <c r="I117" s="3">
        <v>555</v>
      </c>
      <c r="J117" s="3">
        <v>962</v>
      </c>
      <c r="K117" s="3">
        <v>5975</v>
      </c>
      <c r="L117" s="3">
        <v>95</v>
      </c>
      <c r="M117" s="3">
        <v>568</v>
      </c>
      <c r="N117" s="9">
        <f t="shared" si="14"/>
        <v>63.784946236559136</v>
      </c>
      <c r="O117" s="9">
        <f t="shared" si="15"/>
        <v>62.89473684210526</v>
      </c>
      <c r="P117" s="3">
        <f t="shared" si="25"/>
        <v>43</v>
      </c>
      <c r="Q117" s="3">
        <f t="shared" si="26"/>
        <v>2</v>
      </c>
      <c r="R117" s="3">
        <f t="shared" si="27"/>
        <v>13</v>
      </c>
      <c r="S117" s="9">
        <f t="shared" si="19"/>
        <v>-0.89020939445387626</v>
      </c>
      <c r="T117" s="9">
        <f t="shared" si="20"/>
        <v>0.46236559139784944</v>
      </c>
      <c r="U117" s="9">
        <f t="shared" si="21"/>
        <v>9.5612244897959187</v>
      </c>
      <c r="V117" s="4">
        <f t="shared" si="23"/>
        <v>0.10000000000000142</v>
      </c>
      <c r="W117" s="2">
        <f t="shared" si="24"/>
        <v>1.0000000000000009E-3</v>
      </c>
    </row>
    <row r="118" spans="1:23">
      <c r="A118">
        <v>115</v>
      </c>
      <c r="B118" s="4">
        <f t="shared" si="22"/>
        <v>92.6513671875</v>
      </c>
      <c r="C118" s="4">
        <v>94.5</v>
      </c>
      <c r="D118" s="4">
        <v>9.9</v>
      </c>
      <c r="E118" s="4">
        <v>0.1</v>
      </c>
      <c r="F118" s="2">
        <v>0.875</v>
      </c>
      <c r="G118" s="3">
        <v>5932</v>
      </c>
      <c r="H118" s="3">
        <v>94</v>
      </c>
      <c r="I118" s="3">
        <v>561</v>
      </c>
      <c r="J118" s="3">
        <v>969</v>
      </c>
      <c r="K118" s="3">
        <v>5975</v>
      </c>
      <c r="L118" s="3">
        <v>96</v>
      </c>
      <c r="M118" s="3">
        <v>574</v>
      </c>
      <c r="N118" s="9">
        <f t="shared" si="14"/>
        <v>63.106382978723403</v>
      </c>
      <c r="O118" s="9">
        <f t="shared" si="15"/>
        <v>62.239583333333336</v>
      </c>
      <c r="P118" s="3">
        <f t="shared" si="25"/>
        <v>43</v>
      </c>
      <c r="Q118" s="3">
        <f t="shared" si="26"/>
        <v>2</v>
      </c>
      <c r="R118" s="3">
        <f t="shared" si="27"/>
        <v>13</v>
      </c>
      <c r="S118" s="9">
        <f t="shared" si="19"/>
        <v>-0.86679964539006704</v>
      </c>
      <c r="T118" s="9">
        <f t="shared" si="20"/>
        <v>0.45744680851063829</v>
      </c>
      <c r="U118" s="9">
        <f t="shared" si="21"/>
        <v>9.545454545454545</v>
      </c>
      <c r="V118" s="4">
        <f t="shared" si="23"/>
        <v>9.9999999999999645E-2</v>
      </c>
      <c r="W118" s="2">
        <f t="shared" si="24"/>
        <v>1.0000000000000009E-3</v>
      </c>
    </row>
    <row r="119" spans="1:23">
      <c r="A119">
        <v>116</v>
      </c>
      <c r="B119" s="4">
        <f t="shared" si="22"/>
        <v>93.45703125</v>
      </c>
      <c r="C119" s="4">
        <v>95.3</v>
      </c>
      <c r="D119" s="4">
        <v>10</v>
      </c>
      <c r="E119" s="4">
        <v>0.1</v>
      </c>
      <c r="F119" s="2">
        <v>0.876</v>
      </c>
      <c r="G119" s="3">
        <v>5928</v>
      </c>
      <c r="H119" s="3">
        <v>95</v>
      </c>
      <c r="I119" s="3">
        <v>567</v>
      </c>
      <c r="J119" s="3">
        <v>980</v>
      </c>
      <c r="K119" s="3">
        <v>5975</v>
      </c>
      <c r="L119" s="3">
        <v>97</v>
      </c>
      <c r="M119" s="3">
        <v>580</v>
      </c>
      <c r="N119" s="9">
        <f t="shared" si="14"/>
        <v>62.4</v>
      </c>
      <c r="O119" s="9">
        <f t="shared" si="15"/>
        <v>61.597938144329895</v>
      </c>
      <c r="P119" s="3">
        <f t="shared" si="25"/>
        <v>47</v>
      </c>
      <c r="Q119" s="3">
        <f t="shared" si="26"/>
        <v>2</v>
      </c>
      <c r="R119" s="3">
        <f t="shared" si="27"/>
        <v>13</v>
      </c>
      <c r="S119" s="9">
        <f t="shared" si="19"/>
        <v>-0.8020618556701038</v>
      </c>
      <c r="T119" s="9">
        <f t="shared" si="20"/>
        <v>0.49473684210526314</v>
      </c>
      <c r="U119" s="9">
        <f t="shared" si="21"/>
        <v>9.5299999999999994</v>
      </c>
      <c r="V119" s="4">
        <f t="shared" si="23"/>
        <v>9.9999999999999645E-2</v>
      </c>
      <c r="W119" s="2">
        <f t="shared" si="24"/>
        <v>1.0000000000000009E-3</v>
      </c>
    </row>
    <row r="120" spans="1:23">
      <c r="A120">
        <v>117</v>
      </c>
      <c r="B120" s="4">
        <f t="shared" si="22"/>
        <v>94.2626953125</v>
      </c>
      <c r="C120" s="4">
        <v>96.2</v>
      </c>
      <c r="D120" s="4">
        <v>10.1</v>
      </c>
      <c r="E120" s="4">
        <v>0.1</v>
      </c>
      <c r="F120" s="2">
        <v>0.877</v>
      </c>
      <c r="G120" s="3">
        <v>5928</v>
      </c>
      <c r="H120" s="3">
        <v>96</v>
      </c>
      <c r="I120" s="3">
        <v>573</v>
      </c>
      <c r="J120" s="3">
        <v>992</v>
      </c>
      <c r="K120" s="3">
        <v>5975</v>
      </c>
      <c r="L120" s="3">
        <v>98</v>
      </c>
      <c r="M120" s="3">
        <v>586</v>
      </c>
      <c r="N120" s="9">
        <f t="shared" si="14"/>
        <v>61.75</v>
      </c>
      <c r="O120" s="9">
        <f t="shared" si="15"/>
        <v>60.969387755102041</v>
      </c>
      <c r="P120" s="3">
        <f t="shared" si="25"/>
        <v>47</v>
      </c>
      <c r="Q120" s="3">
        <f t="shared" si="26"/>
        <v>2</v>
      </c>
      <c r="R120" s="3">
        <f t="shared" si="27"/>
        <v>13</v>
      </c>
      <c r="S120" s="9">
        <f t="shared" si="19"/>
        <v>-0.78061224489795933</v>
      </c>
      <c r="T120" s="9">
        <f t="shared" si="20"/>
        <v>0.48958333333333331</v>
      </c>
      <c r="U120" s="9">
        <f t="shared" si="21"/>
        <v>9.5247524752475261</v>
      </c>
      <c r="V120" s="4">
        <f t="shared" si="23"/>
        <v>9.9999999999999645E-2</v>
      </c>
      <c r="W120" s="2">
        <f t="shared" si="24"/>
        <v>1.0000000000000009E-3</v>
      </c>
    </row>
    <row r="121" spans="1:23">
      <c r="A121">
        <v>118</v>
      </c>
      <c r="B121" s="4">
        <f t="shared" si="22"/>
        <v>95.068359375</v>
      </c>
      <c r="C121" s="4">
        <v>97</v>
      </c>
      <c r="D121" s="4">
        <v>10.199999999999999</v>
      </c>
      <c r="E121" s="4">
        <v>0.1</v>
      </c>
      <c r="F121" s="2">
        <v>0.878</v>
      </c>
      <c r="G121" s="3">
        <v>5928</v>
      </c>
      <c r="H121" s="3">
        <v>98</v>
      </c>
      <c r="I121" s="3">
        <v>582</v>
      </c>
      <c r="J121" s="3">
        <v>1006</v>
      </c>
      <c r="K121" s="3">
        <v>5975</v>
      </c>
      <c r="L121" s="3">
        <v>99</v>
      </c>
      <c r="M121" s="3">
        <v>592</v>
      </c>
      <c r="N121" s="9">
        <f t="shared" si="14"/>
        <v>60.489795918367349</v>
      </c>
      <c r="O121" s="9">
        <f t="shared" si="15"/>
        <v>60.353535353535356</v>
      </c>
      <c r="P121" s="3">
        <f t="shared" si="25"/>
        <v>47</v>
      </c>
      <c r="Q121" s="3">
        <f t="shared" si="26"/>
        <v>1</v>
      </c>
      <c r="R121" s="3">
        <f t="shared" si="27"/>
        <v>10</v>
      </c>
      <c r="S121" s="9">
        <f t="shared" si="19"/>
        <v>-0.13626056483199278</v>
      </c>
      <c r="T121" s="9">
        <f t="shared" si="20"/>
        <v>0.47959183673469385</v>
      </c>
      <c r="U121" s="9">
        <f t="shared" si="21"/>
        <v>9.5098039215686274</v>
      </c>
      <c r="V121" s="4">
        <f t="shared" si="23"/>
        <v>9.9999999999999645E-2</v>
      </c>
      <c r="W121" s="2">
        <f t="shared" si="24"/>
        <v>1.0000000000000009E-3</v>
      </c>
    </row>
    <row r="122" spans="1:23">
      <c r="A122">
        <v>119</v>
      </c>
      <c r="B122" s="4">
        <f t="shared" si="22"/>
        <v>95.8740234375</v>
      </c>
      <c r="C122" s="4">
        <v>97.7</v>
      </c>
      <c r="D122" s="4">
        <v>10.3</v>
      </c>
      <c r="E122" s="4">
        <v>0.1</v>
      </c>
      <c r="F122" s="2">
        <v>0.879</v>
      </c>
      <c r="G122" s="3">
        <v>5928</v>
      </c>
      <c r="H122" s="3">
        <v>98</v>
      </c>
      <c r="I122" s="3">
        <v>585</v>
      </c>
      <c r="J122" s="3">
        <v>1006</v>
      </c>
      <c r="K122" s="3">
        <v>5975</v>
      </c>
      <c r="L122" s="3">
        <v>100</v>
      </c>
      <c r="M122" s="3">
        <v>598</v>
      </c>
      <c r="N122" s="9">
        <f t="shared" si="14"/>
        <v>60.489795918367349</v>
      </c>
      <c r="O122" s="9">
        <f t="shared" si="15"/>
        <v>59.75</v>
      </c>
      <c r="P122" s="3">
        <f t="shared" si="25"/>
        <v>47</v>
      </c>
      <c r="Q122" s="3">
        <f t="shared" si="26"/>
        <v>2</v>
      </c>
      <c r="R122" s="3">
        <f t="shared" si="27"/>
        <v>13</v>
      </c>
      <c r="S122" s="9">
        <f t="shared" si="19"/>
        <v>-0.73979591836734926</v>
      </c>
      <c r="T122" s="9">
        <f t="shared" si="20"/>
        <v>0.47959183673469385</v>
      </c>
      <c r="U122" s="9">
        <f t="shared" si="21"/>
        <v>9.4854368932038824</v>
      </c>
      <c r="V122" s="4">
        <f t="shared" si="23"/>
        <v>0.10000000000000142</v>
      </c>
      <c r="W122" s="2">
        <f t="shared" si="24"/>
        <v>1.0000000000000009E-3</v>
      </c>
    </row>
    <row r="123" spans="1:23">
      <c r="A123">
        <v>120</v>
      </c>
      <c r="B123" s="4">
        <f t="shared" si="22"/>
        <v>96.6796875</v>
      </c>
      <c r="C123" s="4">
        <v>98.5</v>
      </c>
      <c r="D123" s="4">
        <v>10.4</v>
      </c>
      <c r="E123" s="4">
        <v>0.1</v>
      </c>
      <c r="F123" s="2">
        <v>0.88</v>
      </c>
      <c r="G123" s="3">
        <v>5928</v>
      </c>
      <c r="H123" s="3">
        <v>100</v>
      </c>
      <c r="I123" s="3">
        <v>594</v>
      </c>
      <c r="J123" s="3">
        <v>1024</v>
      </c>
      <c r="K123" s="3">
        <v>5975</v>
      </c>
      <c r="L123" s="3">
        <v>101</v>
      </c>
      <c r="M123" s="3">
        <v>604</v>
      </c>
      <c r="N123" s="9">
        <f t="shared" si="14"/>
        <v>59.28</v>
      </c>
      <c r="O123" s="9">
        <f t="shared" si="15"/>
        <v>59.158415841584159</v>
      </c>
      <c r="P123" s="3">
        <f t="shared" si="25"/>
        <v>47</v>
      </c>
      <c r="Q123" s="3">
        <f t="shared" si="26"/>
        <v>1</v>
      </c>
      <c r="R123" s="3">
        <f t="shared" si="27"/>
        <v>10</v>
      </c>
      <c r="S123" s="9">
        <f t="shared" si="19"/>
        <v>-0.12158415841584258</v>
      </c>
      <c r="T123" s="9">
        <f t="shared" si="20"/>
        <v>0.47</v>
      </c>
      <c r="U123" s="9">
        <f t="shared" si="21"/>
        <v>9.4711538461538467</v>
      </c>
      <c r="V123" s="4">
        <f t="shared" si="23"/>
        <v>9.9999999999999645E-2</v>
      </c>
      <c r="W123" s="2">
        <f t="shared" si="24"/>
        <v>1.0000000000000009E-3</v>
      </c>
    </row>
    <row r="124" spans="1:23">
      <c r="A124">
        <v>130</v>
      </c>
      <c r="B124" s="4">
        <f t="shared" si="22"/>
        <v>104.736328125</v>
      </c>
      <c r="C124" s="4">
        <v>107</v>
      </c>
      <c r="D124" s="4">
        <v>11.3</v>
      </c>
      <c r="E124" s="4">
        <v>0.2</v>
      </c>
      <c r="F124" s="2">
        <v>0.88700000000000001</v>
      </c>
      <c r="G124" s="3">
        <v>5924</v>
      </c>
      <c r="H124" s="3">
        <v>107</v>
      </c>
      <c r="I124" s="3">
        <v>639</v>
      </c>
      <c r="J124" s="3">
        <v>1046</v>
      </c>
      <c r="K124" s="3">
        <v>5975</v>
      </c>
      <c r="L124" s="3">
        <v>109</v>
      </c>
      <c r="M124" s="3">
        <v>651</v>
      </c>
      <c r="N124" s="9">
        <f t="shared" si="14"/>
        <v>55.364485981308412</v>
      </c>
      <c r="O124" s="9">
        <f t="shared" si="15"/>
        <v>54.816513761467888</v>
      </c>
      <c r="P124" s="3">
        <f t="shared" si="25"/>
        <v>51</v>
      </c>
      <c r="Q124" s="3">
        <f t="shared" si="26"/>
        <v>2</v>
      </c>
      <c r="R124" s="3">
        <f t="shared" si="27"/>
        <v>12</v>
      </c>
      <c r="S124" s="9">
        <f t="shared" si="19"/>
        <v>-0.54797221984052413</v>
      </c>
      <c r="T124" s="9">
        <f t="shared" si="20"/>
        <v>0.47663551401869159</v>
      </c>
      <c r="U124" s="9">
        <f t="shared" si="21"/>
        <v>9.4690265486725664</v>
      </c>
      <c r="V124" s="4">
        <f t="shared" si="23"/>
        <v>0.90000000000000036</v>
      </c>
      <c r="W124" s="2">
        <f t="shared" si="24"/>
        <v>7.0000000000000062E-3</v>
      </c>
    </row>
    <row r="125" spans="1:23">
      <c r="A125">
        <v>140</v>
      </c>
      <c r="B125" s="4">
        <f t="shared" si="22"/>
        <v>112.79296875</v>
      </c>
      <c r="C125" s="4">
        <v>115</v>
      </c>
      <c r="D125" s="4">
        <v>12.2</v>
      </c>
      <c r="E125" s="4">
        <v>0.2</v>
      </c>
      <c r="F125" s="2">
        <v>0.89500000000000002</v>
      </c>
      <c r="G125" s="3">
        <v>5920</v>
      </c>
      <c r="H125" s="3">
        <v>116</v>
      </c>
      <c r="I125" s="3">
        <v>692</v>
      </c>
      <c r="J125" s="3">
        <v>1119</v>
      </c>
      <c r="K125" s="3">
        <v>5975</v>
      </c>
      <c r="L125" s="3">
        <v>118</v>
      </c>
      <c r="M125" s="3">
        <v>705</v>
      </c>
      <c r="N125" s="9">
        <f t="shared" si="14"/>
        <v>51.03448275862069</v>
      </c>
      <c r="O125" s="9">
        <f t="shared" si="15"/>
        <v>50.635593220338983</v>
      </c>
      <c r="P125" s="3">
        <f t="shared" si="25"/>
        <v>55</v>
      </c>
      <c r="Q125" s="3">
        <f t="shared" si="26"/>
        <v>2</v>
      </c>
      <c r="R125" s="3">
        <f t="shared" si="27"/>
        <v>13</v>
      </c>
      <c r="S125" s="9">
        <f t="shared" si="19"/>
        <v>-0.3988895382817077</v>
      </c>
      <c r="T125" s="9">
        <f t="shared" si="20"/>
        <v>0.47413793103448276</v>
      </c>
      <c r="U125" s="9">
        <f t="shared" si="21"/>
        <v>9.4262295081967213</v>
      </c>
      <c r="V125" s="4">
        <f t="shared" si="23"/>
        <v>0.89999999999999858</v>
      </c>
      <c r="W125" s="2">
        <f t="shared" si="24"/>
        <v>8.0000000000000071E-3</v>
      </c>
    </row>
    <row r="126" spans="1:23">
      <c r="A126">
        <v>150</v>
      </c>
      <c r="B126" s="4">
        <f t="shared" si="22"/>
        <v>120.849609375</v>
      </c>
      <c r="C126" s="4">
        <v>133</v>
      </c>
      <c r="D126" s="4">
        <v>13</v>
      </c>
      <c r="E126" s="4">
        <v>0.2</v>
      </c>
      <c r="F126" s="2">
        <v>0.90100000000000002</v>
      </c>
      <c r="G126" s="3">
        <v>5916</v>
      </c>
      <c r="H126" s="3">
        <v>125</v>
      </c>
      <c r="I126" s="3">
        <v>742</v>
      </c>
      <c r="J126" s="3">
        <v>1201</v>
      </c>
      <c r="K126" s="3">
        <v>5975</v>
      </c>
      <c r="L126" s="3">
        <v>126</v>
      </c>
      <c r="M126" s="3">
        <v>753</v>
      </c>
      <c r="N126" s="9">
        <f t="shared" si="14"/>
        <v>47.328000000000003</v>
      </c>
      <c r="O126" s="9">
        <f t="shared" si="15"/>
        <v>47.420634920634917</v>
      </c>
      <c r="P126" s="3">
        <f t="shared" si="25"/>
        <v>59</v>
      </c>
      <c r="Q126" s="3">
        <f t="shared" si="26"/>
        <v>1</v>
      </c>
      <c r="R126" s="3">
        <f t="shared" si="27"/>
        <v>11</v>
      </c>
      <c r="S126" s="9">
        <f t="shared" si="19"/>
        <v>9.2634920634914408E-2</v>
      </c>
      <c r="T126" s="9">
        <f t="shared" si="20"/>
        <v>0.47199999999999998</v>
      </c>
      <c r="U126" s="9">
        <f t="shared" si="21"/>
        <v>10.23076923076923</v>
      </c>
      <c r="V126" s="4">
        <f t="shared" si="23"/>
        <v>0.80000000000000071</v>
      </c>
      <c r="W126" s="2">
        <f t="shared" si="24"/>
        <v>6.0000000000000053E-3</v>
      </c>
    </row>
    <row r="127" spans="1:23">
      <c r="A127">
        <v>160</v>
      </c>
      <c r="B127" s="4">
        <f t="shared" si="22"/>
        <v>128.90625</v>
      </c>
      <c r="C127" s="4">
        <v>131.1</v>
      </c>
      <c r="D127" s="4">
        <v>13.8</v>
      </c>
      <c r="E127" s="4">
        <v>0.2</v>
      </c>
      <c r="F127" s="2">
        <v>0.90700000000000003</v>
      </c>
      <c r="G127" s="3">
        <v>5912</v>
      </c>
      <c r="H127" s="3">
        <v>132</v>
      </c>
      <c r="I127" s="3">
        <v>782</v>
      </c>
      <c r="J127" s="3">
        <v>1289</v>
      </c>
      <c r="K127" s="3">
        <v>5975</v>
      </c>
      <c r="L127" s="3">
        <v>134</v>
      </c>
      <c r="M127" s="3">
        <v>801</v>
      </c>
      <c r="N127" s="9">
        <f t="shared" si="14"/>
        <v>44.787878787878789</v>
      </c>
      <c r="O127" s="9">
        <f t="shared" si="15"/>
        <v>44.589552238805972</v>
      </c>
      <c r="P127" s="3">
        <f t="shared" si="25"/>
        <v>63</v>
      </c>
      <c r="Q127" s="3">
        <f t="shared" si="26"/>
        <v>2</v>
      </c>
      <c r="R127" s="3">
        <f t="shared" si="27"/>
        <v>19</v>
      </c>
      <c r="S127" s="9">
        <f t="shared" si="19"/>
        <v>-0.19832654907281722</v>
      </c>
      <c r="T127" s="9">
        <f t="shared" si="20"/>
        <v>0.47727272727272729</v>
      </c>
      <c r="U127" s="9">
        <f t="shared" si="21"/>
        <v>9.4999999999999982</v>
      </c>
      <c r="V127" s="4">
        <f t="shared" si="23"/>
        <v>0.80000000000000071</v>
      </c>
      <c r="W127" s="2">
        <f t="shared" si="24"/>
        <v>6.0000000000000053E-3</v>
      </c>
    </row>
    <row r="128" spans="1:23">
      <c r="A128">
        <v>170</v>
      </c>
      <c r="B128" s="4">
        <f t="shared" si="22"/>
        <v>136.962890625</v>
      </c>
      <c r="C128" s="4">
        <v>139.1</v>
      </c>
      <c r="D128" s="4">
        <v>14.6</v>
      </c>
      <c r="E128" s="4">
        <v>0.2</v>
      </c>
      <c r="F128" s="2">
        <v>0.91100000000000003</v>
      </c>
      <c r="G128" s="3">
        <v>5904</v>
      </c>
      <c r="H128" s="3">
        <v>140</v>
      </c>
      <c r="I128" s="3">
        <v>830</v>
      </c>
      <c r="J128" s="3">
        <v>1370</v>
      </c>
      <c r="K128" s="3">
        <v>5975</v>
      </c>
      <c r="L128" s="3">
        <v>141</v>
      </c>
      <c r="M128" s="3">
        <v>843</v>
      </c>
      <c r="N128" s="9">
        <f t="shared" si="14"/>
        <v>42.171428571428571</v>
      </c>
      <c r="O128" s="9">
        <f t="shared" si="15"/>
        <v>42.375886524822697</v>
      </c>
      <c r="P128" s="3">
        <f t="shared" si="25"/>
        <v>71</v>
      </c>
      <c r="Q128" s="3">
        <f t="shared" si="26"/>
        <v>1</v>
      </c>
      <c r="R128" s="3">
        <f t="shared" si="27"/>
        <v>13</v>
      </c>
      <c r="S128" s="9">
        <f t="shared" si="19"/>
        <v>0.20445795339412598</v>
      </c>
      <c r="T128" s="9">
        <f t="shared" si="20"/>
        <v>0.50714285714285712</v>
      </c>
      <c r="U128" s="9">
        <f t="shared" si="21"/>
        <v>9.5273972602739718</v>
      </c>
      <c r="V128" s="4">
        <f t="shared" si="23"/>
        <v>0.79999999999999893</v>
      </c>
      <c r="W128" s="2">
        <f t="shared" si="24"/>
        <v>4.0000000000000036E-3</v>
      </c>
    </row>
    <row r="129" spans="1:23">
      <c r="A129">
        <v>180</v>
      </c>
      <c r="B129" s="4">
        <f t="shared" si="22"/>
        <v>145.01953125</v>
      </c>
      <c r="C129" s="4">
        <v>147.1</v>
      </c>
      <c r="D129" s="4">
        <v>15.4</v>
      </c>
      <c r="E129" s="4">
        <v>0.2</v>
      </c>
      <c r="F129" s="2">
        <v>0.91600000000000004</v>
      </c>
      <c r="G129" s="3">
        <v>5900</v>
      </c>
      <c r="H129" s="3">
        <v>147</v>
      </c>
      <c r="I129" s="3">
        <v>874</v>
      </c>
      <c r="J129" s="3">
        <v>1465</v>
      </c>
      <c r="K129" s="3">
        <v>5975</v>
      </c>
      <c r="L129" s="3">
        <v>149</v>
      </c>
      <c r="M129" s="3">
        <v>890</v>
      </c>
      <c r="N129" s="9">
        <f t="shared" si="14"/>
        <v>40.136054421768705</v>
      </c>
      <c r="O129" s="9">
        <f t="shared" si="15"/>
        <v>40.100671140939596</v>
      </c>
      <c r="P129" s="3">
        <f t="shared" si="25"/>
        <v>75</v>
      </c>
      <c r="Q129" s="3">
        <f t="shared" si="26"/>
        <v>2</v>
      </c>
      <c r="R129" s="3">
        <f t="shared" si="27"/>
        <v>16</v>
      </c>
      <c r="S129" s="9">
        <f t="shared" si="19"/>
        <v>-3.5383280829108799E-2</v>
      </c>
      <c r="T129" s="9">
        <f t="shared" si="20"/>
        <v>0.51020408163265307</v>
      </c>
      <c r="U129" s="9">
        <f t="shared" si="21"/>
        <v>9.5519480519480506</v>
      </c>
      <c r="V129" s="4">
        <f t="shared" si="23"/>
        <v>0.80000000000000071</v>
      </c>
      <c r="W129" s="2">
        <f t="shared" si="24"/>
        <v>5.0000000000000044E-3</v>
      </c>
    </row>
    <row r="130" spans="1:23">
      <c r="A130">
        <v>190</v>
      </c>
      <c r="B130" s="4">
        <f t="shared" si="22"/>
        <v>153.076171875</v>
      </c>
      <c r="C130" s="4">
        <v>155.1</v>
      </c>
      <c r="D130" s="4">
        <v>16.2</v>
      </c>
      <c r="E130" s="4">
        <v>0.2</v>
      </c>
      <c r="F130" s="2">
        <v>0.92</v>
      </c>
      <c r="G130" s="3">
        <v>5900</v>
      </c>
      <c r="H130" s="3">
        <v>155</v>
      </c>
      <c r="I130" s="3">
        <v>917</v>
      </c>
      <c r="J130" s="3">
        <v>1550</v>
      </c>
      <c r="K130" s="3">
        <v>5975</v>
      </c>
      <c r="L130" s="3">
        <v>157</v>
      </c>
      <c r="M130" s="3">
        <v>938</v>
      </c>
      <c r="N130" s="9">
        <f t="shared" si="14"/>
        <v>38.064516129032256</v>
      </c>
      <c r="O130" s="9">
        <f t="shared" si="15"/>
        <v>38.057324840764331</v>
      </c>
      <c r="P130" s="3">
        <f t="shared" si="25"/>
        <v>75</v>
      </c>
      <c r="Q130" s="3">
        <f t="shared" si="26"/>
        <v>2</v>
      </c>
      <c r="R130" s="3">
        <f t="shared" si="27"/>
        <v>21</v>
      </c>
      <c r="S130" s="9">
        <f t="shared" si="19"/>
        <v>-7.1912882679256995E-3</v>
      </c>
      <c r="T130" s="9">
        <f t="shared" si="20"/>
        <v>0.4838709677419355</v>
      </c>
      <c r="U130" s="9">
        <f t="shared" si="21"/>
        <v>9.5740740740740744</v>
      </c>
      <c r="V130" s="4">
        <f t="shared" si="23"/>
        <v>0.79999999999999893</v>
      </c>
      <c r="W130" s="2">
        <f t="shared" si="24"/>
        <v>4.0000000000000036E-3</v>
      </c>
    </row>
    <row r="131" spans="1:23">
      <c r="A131">
        <v>200</v>
      </c>
      <c r="B131" s="4">
        <f t="shared" si="22"/>
        <v>161.1328125</v>
      </c>
      <c r="C131" s="4">
        <v>163.1</v>
      </c>
      <c r="D131" s="4">
        <v>17</v>
      </c>
      <c r="E131" s="4">
        <v>0.2</v>
      </c>
      <c r="F131" s="2">
        <v>0.92300000000000004</v>
      </c>
      <c r="G131" s="3">
        <v>5896</v>
      </c>
      <c r="H131" s="3">
        <v>162</v>
      </c>
      <c r="I131" s="3">
        <v>959</v>
      </c>
      <c r="J131" s="3">
        <v>1605</v>
      </c>
      <c r="K131" s="3">
        <v>5975</v>
      </c>
      <c r="L131" s="3">
        <v>164</v>
      </c>
      <c r="M131" s="3">
        <v>980</v>
      </c>
      <c r="N131" s="9">
        <f t="shared" ref="N131:N194" si="28">(G131/H131)</f>
        <v>36.395061728395063</v>
      </c>
      <c r="O131" s="9">
        <f t="shared" ref="O131:O194" si="29">(K131/L131)</f>
        <v>36.43292682926829</v>
      </c>
      <c r="P131" s="3">
        <f t="shared" ref="P131:P162" si="30">(K131-G131)</f>
        <v>79</v>
      </c>
      <c r="Q131" s="3">
        <f t="shared" ref="Q131:Q162" si="31">(L131-H131)</f>
        <v>2</v>
      </c>
      <c r="R131" s="3">
        <f t="shared" ref="R131:R162" si="32">(M131-I131)</f>
        <v>21</v>
      </c>
      <c r="S131" s="9">
        <f t="shared" ref="S131:S194" si="33">(O131-N131)</f>
        <v>3.7865100873226254E-2</v>
      </c>
      <c r="T131" s="9">
        <f t="shared" si="20"/>
        <v>0.48765432098765432</v>
      </c>
      <c r="U131" s="9">
        <f t="shared" si="21"/>
        <v>9.5941176470588232</v>
      </c>
      <c r="V131" s="4">
        <f t="shared" si="23"/>
        <v>0.80000000000000071</v>
      </c>
      <c r="W131" s="2">
        <f t="shared" si="24"/>
        <v>3.0000000000000027E-3</v>
      </c>
    </row>
    <row r="132" spans="1:23">
      <c r="A132">
        <v>210</v>
      </c>
      <c r="B132" s="4">
        <f t="shared" si="22"/>
        <v>169.189453125</v>
      </c>
      <c r="C132" s="4">
        <v>171.2</v>
      </c>
      <c r="D132" s="4">
        <v>17.8</v>
      </c>
      <c r="E132" s="4">
        <v>0.2</v>
      </c>
      <c r="F132" s="2">
        <v>0.92600000000000005</v>
      </c>
      <c r="G132" s="3">
        <v>5892</v>
      </c>
      <c r="H132" s="3">
        <v>169</v>
      </c>
      <c r="I132" s="3">
        <v>999</v>
      </c>
      <c r="J132" s="3">
        <v>1683</v>
      </c>
      <c r="K132" s="3">
        <v>5975</v>
      </c>
      <c r="L132" s="3">
        <v>171</v>
      </c>
      <c r="M132" s="3">
        <v>1022</v>
      </c>
      <c r="N132" s="9">
        <f t="shared" si="28"/>
        <v>34.863905325443788</v>
      </c>
      <c r="O132" s="9">
        <f t="shared" si="29"/>
        <v>34.941520467836256</v>
      </c>
      <c r="P132" s="3">
        <f t="shared" si="30"/>
        <v>83</v>
      </c>
      <c r="Q132" s="3">
        <f t="shared" si="31"/>
        <v>2</v>
      </c>
      <c r="R132" s="3">
        <f t="shared" si="32"/>
        <v>23</v>
      </c>
      <c r="S132" s="9">
        <f t="shared" si="33"/>
        <v>7.7615142392467362E-2</v>
      </c>
      <c r="T132" s="9">
        <f t="shared" ref="T132:T195" si="34">(P132/H132)</f>
        <v>0.4911242603550296</v>
      </c>
      <c r="U132" s="9">
        <f t="shared" ref="U132:U195" si="35">(C132/D132)</f>
        <v>9.6179775280898863</v>
      </c>
      <c r="V132" s="4">
        <f t="shared" si="23"/>
        <v>0.80000000000000071</v>
      </c>
      <c r="W132" s="2">
        <f t="shared" si="24"/>
        <v>3.0000000000000027E-3</v>
      </c>
    </row>
    <row r="133" spans="1:23">
      <c r="A133">
        <v>220</v>
      </c>
      <c r="B133" s="4">
        <f t="shared" ref="B133:B196" si="36">3300*(A133/4096)</f>
        <v>177.24609375</v>
      </c>
      <c r="C133" s="4">
        <v>179.2</v>
      </c>
      <c r="D133" s="4">
        <v>18.5</v>
      </c>
      <c r="E133" s="4">
        <v>0.2</v>
      </c>
      <c r="F133" s="2">
        <v>0.92900000000000005</v>
      </c>
      <c r="G133" s="3">
        <v>5884</v>
      </c>
      <c r="H133" s="3">
        <v>178</v>
      </c>
      <c r="I133" s="3">
        <v>1049</v>
      </c>
      <c r="J133" s="3">
        <v>1752</v>
      </c>
      <c r="K133" s="3">
        <v>5975</v>
      </c>
      <c r="L133" s="3">
        <v>179</v>
      </c>
      <c r="M133" s="3">
        <v>1070</v>
      </c>
      <c r="N133" s="9">
        <f t="shared" si="28"/>
        <v>33.056179775280896</v>
      </c>
      <c r="O133" s="9">
        <f t="shared" si="29"/>
        <v>33.379888268156428</v>
      </c>
      <c r="P133" s="3">
        <f t="shared" si="30"/>
        <v>91</v>
      </c>
      <c r="Q133" s="3">
        <f t="shared" si="31"/>
        <v>1</v>
      </c>
      <c r="R133" s="3">
        <f t="shared" si="32"/>
        <v>21</v>
      </c>
      <c r="S133" s="9">
        <f t="shared" si="33"/>
        <v>0.32370849287553227</v>
      </c>
      <c r="T133" s="9">
        <f t="shared" si="34"/>
        <v>0.5112359550561798</v>
      </c>
      <c r="U133" s="9">
        <f t="shared" si="35"/>
        <v>9.6864864864864852</v>
      </c>
      <c r="V133" s="4">
        <f t="shared" ref="V133:V196" si="37">(D133-D132)</f>
        <v>0.69999999999999929</v>
      </c>
      <c r="W133" s="2">
        <f t="shared" ref="W133:W196" si="38">(F133-F132)</f>
        <v>3.0000000000000027E-3</v>
      </c>
    </row>
    <row r="134" spans="1:23">
      <c r="A134">
        <v>230</v>
      </c>
      <c r="B134" s="4">
        <f t="shared" si="36"/>
        <v>185.302734375</v>
      </c>
      <c r="C134" s="4">
        <v>187.2</v>
      </c>
      <c r="D134" s="4">
        <v>19.3</v>
      </c>
      <c r="E134" s="4">
        <v>0.2</v>
      </c>
      <c r="F134" s="2">
        <v>0.93200000000000005</v>
      </c>
      <c r="G134" s="3">
        <v>5884</v>
      </c>
      <c r="H134" s="3">
        <v>185</v>
      </c>
      <c r="I134" s="3">
        <v>1090</v>
      </c>
      <c r="J134" s="3">
        <v>1829</v>
      </c>
      <c r="K134" s="3">
        <v>5975</v>
      </c>
      <c r="L134" s="3">
        <v>186</v>
      </c>
      <c r="M134" s="3">
        <v>1112</v>
      </c>
      <c r="N134" s="9">
        <f t="shared" si="28"/>
        <v>31.805405405405406</v>
      </c>
      <c r="O134" s="9">
        <f t="shared" si="29"/>
        <v>32.123655913978496</v>
      </c>
      <c r="P134" s="3">
        <f t="shared" si="30"/>
        <v>91</v>
      </c>
      <c r="Q134" s="3">
        <f t="shared" si="31"/>
        <v>1</v>
      </c>
      <c r="R134" s="3">
        <f t="shared" si="32"/>
        <v>22</v>
      </c>
      <c r="S134" s="9">
        <f t="shared" si="33"/>
        <v>0.31825050857309023</v>
      </c>
      <c r="T134" s="9">
        <f t="shared" si="34"/>
        <v>0.49189189189189192</v>
      </c>
      <c r="U134" s="9">
        <f t="shared" si="35"/>
        <v>9.699481865284973</v>
      </c>
      <c r="V134" s="4">
        <f t="shared" si="37"/>
        <v>0.80000000000000071</v>
      </c>
      <c r="W134" s="2">
        <f t="shared" si="38"/>
        <v>3.0000000000000027E-3</v>
      </c>
    </row>
    <row r="135" spans="1:23">
      <c r="A135">
        <v>240</v>
      </c>
      <c r="B135" s="4">
        <f t="shared" si="36"/>
        <v>193.359375</v>
      </c>
      <c r="C135" s="4">
        <v>195.3</v>
      </c>
      <c r="D135" s="4">
        <v>20.100000000000001</v>
      </c>
      <c r="E135" s="4">
        <v>0.2</v>
      </c>
      <c r="F135" s="2">
        <v>0.93400000000000005</v>
      </c>
      <c r="G135" s="3">
        <v>5876</v>
      </c>
      <c r="H135" s="3">
        <v>192</v>
      </c>
      <c r="I135" s="3">
        <v>1131</v>
      </c>
      <c r="J135" s="3">
        <v>1943</v>
      </c>
      <c r="K135" s="3">
        <v>5975</v>
      </c>
      <c r="L135" s="3">
        <v>193</v>
      </c>
      <c r="M135" s="3">
        <v>1153</v>
      </c>
      <c r="N135" s="9">
        <f t="shared" si="28"/>
        <v>30.604166666666668</v>
      </c>
      <c r="O135" s="9">
        <f t="shared" si="29"/>
        <v>30.958549222797927</v>
      </c>
      <c r="P135" s="3">
        <f t="shared" si="30"/>
        <v>99</v>
      </c>
      <c r="Q135" s="3">
        <f t="shared" si="31"/>
        <v>1</v>
      </c>
      <c r="R135" s="3">
        <f t="shared" si="32"/>
        <v>22</v>
      </c>
      <c r="S135" s="9">
        <f t="shared" si="33"/>
        <v>0.35438255613125946</v>
      </c>
      <c r="T135" s="9">
        <f t="shared" si="34"/>
        <v>0.515625</v>
      </c>
      <c r="U135" s="9">
        <f t="shared" si="35"/>
        <v>9.7164179104477615</v>
      </c>
      <c r="V135" s="4">
        <f t="shared" si="37"/>
        <v>0.80000000000000071</v>
      </c>
      <c r="W135" s="2">
        <f t="shared" si="38"/>
        <v>2.0000000000000018E-3</v>
      </c>
    </row>
    <row r="136" spans="1:23">
      <c r="A136">
        <v>250</v>
      </c>
      <c r="B136" s="4">
        <f t="shared" si="36"/>
        <v>201.416015625</v>
      </c>
      <c r="C136" s="4">
        <v>201</v>
      </c>
      <c r="D136" s="4">
        <v>20.8</v>
      </c>
      <c r="E136" s="4">
        <v>0.2</v>
      </c>
      <c r="F136" s="2">
        <v>0.93700000000000006</v>
      </c>
      <c r="G136" s="3">
        <v>5872</v>
      </c>
      <c r="H136" s="3">
        <v>199</v>
      </c>
      <c r="I136" s="3">
        <v>1169</v>
      </c>
      <c r="J136" s="3">
        <v>2020</v>
      </c>
      <c r="K136" s="3">
        <v>5975</v>
      </c>
      <c r="L136" s="3">
        <v>201</v>
      </c>
      <c r="M136" s="3">
        <v>1201</v>
      </c>
      <c r="N136" s="9">
        <f t="shared" si="28"/>
        <v>29.507537688442213</v>
      </c>
      <c r="O136" s="9">
        <f t="shared" si="29"/>
        <v>29.726368159203979</v>
      </c>
      <c r="P136" s="3">
        <f t="shared" si="30"/>
        <v>103</v>
      </c>
      <c r="Q136" s="3">
        <f t="shared" si="31"/>
        <v>2</v>
      </c>
      <c r="R136" s="3">
        <f t="shared" si="32"/>
        <v>32</v>
      </c>
      <c r="S136" s="9">
        <f t="shared" si="33"/>
        <v>0.21883047076176609</v>
      </c>
      <c r="T136" s="9">
        <f t="shared" si="34"/>
        <v>0.51758793969849248</v>
      </c>
      <c r="U136" s="9">
        <f t="shared" si="35"/>
        <v>9.6634615384615383</v>
      </c>
      <c r="V136" s="4">
        <f t="shared" si="37"/>
        <v>0.69999999999999929</v>
      </c>
      <c r="W136" s="2">
        <f t="shared" si="38"/>
        <v>3.0000000000000027E-3</v>
      </c>
    </row>
    <row r="137" spans="1:23">
      <c r="A137">
        <v>260</v>
      </c>
      <c r="B137" s="4">
        <f t="shared" si="36"/>
        <v>209.47265625</v>
      </c>
      <c r="C137" s="4">
        <v>209</v>
      </c>
      <c r="D137" s="4">
        <v>21.6</v>
      </c>
      <c r="E137" s="4">
        <v>0.3</v>
      </c>
      <c r="F137" s="2">
        <v>0.93899999999999995</v>
      </c>
      <c r="G137" s="3">
        <v>5872</v>
      </c>
      <c r="H137" s="3">
        <v>207</v>
      </c>
      <c r="I137" s="3">
        <v>1219</v>
      </c>
      <c r="J137" s="3">
        <v>2066</v>
      </c>
      <c r="K137" s="3">
        <v>5975</v>
      </c>
      <c r="L137" s="3">
        <v>208</v>
      </c>
      <c r="M137" s="3">
        <v>1243</v>
      </c>
      <c r="N137" s="9">
        <f t="shared" si="28"/>
        <v>28.367149758454108</v>
      </c>
      <c r="O137" s="9">
        <f t="shared" si="29"/>
        <v>28.72596153846154</v>
      </c>
      <c r="P137" s="3">
        <f t="shared" si="30"/>
        <v>103</v>
      </c>
      <c r="Q137" s="3">
        <f t="shared" si="31"/>
        <v>1</v>
      </c>
      <c r="R137" s="3">
        <f t="shared" si="32"/>
        <v>24</v>
      </c>
      <c r="S137" s="9">
        <f t="shared" si="33"/>
        <v>0.35881178000743219</v>
      </c>
      <c r="T137" s="9">
        <f t="shared" si="34"/>
        <v>0.49758454106280192</v>
      </c>
      <c r="U137" s="9">
        <f t="shared" si="35"/>
        <v>9.6759259259259256</v>
      </c>
      <c r="V137" s="4">
        <f t="shared" si="37"/>
        <v>0.80000000000000071</v>
      </c>
      <c r="W137" s="2">
        <f t="shared" si="38"/>
        <v>1.9999999999998908E-3</v>
      </c>
    </row>
    <row r="138" spans="1:23">
      <c r="A138">
        <v>270</v>
      </c>
      <c r="B138" s="4">
        <f t="shared" si="36"/>
        <v>217.529296875</v>
      </c>
      <c r="C138" s="4">
        <v>217</v>
      </c>
      <c r="D138" s="4">
        <v>22.3</v>
      </c>
      <c r="E138" s="4">
        <v>0.3</v>
      </c>
      <c r="F138" s="2">
        <v>0.94199999999999995</v>
      </c>
      <c r="G138" s="3">
        <v>5864</v>
      </c>
      <c r="H138" s="3">
        <v>213</v>
      </c>
      <c r="I138" s="3">
        <v>1253</v>
      </c>
      <c r="J138" s="3">
        <v>2170</v>
      </c>
      <c r="K138" s="3">
        <v>5975</v>
      </c>
      <c r="L138" s="3">
        <v>215</v>
      </c>
      <c r="M138" s="3">
        <v>1285</v>
      </c>
      <c r="N138" s="9">
        <f t="shared" si="28"/>
        <v>27.530516431924884</v>
      </c>
      <c r="O138" s="9">
        <f t="shared" si="29"/>
        <v>27.790697674418606</v>
      </c>
      <c r="P138" s="3">
        <f t="shared" si="30"/>
        <v>111</v>
      </c>
      <c r="Q138" s="3">
        <f t="shared" si="31"/>
        <v>2</v>
      </c>
      <c r="R138" s="3">
        <f t="shared" si="32"/>
        <v>32</v>
      </c>
      <c r="S138" s="9">
        <f t="shared" si="33"/>
        <v>0.26018124249372221</v>
      </c>
      <c r="T138" s="9">
        <f t="shared" si="34"/>
        <v>0.52112676056338025</v>
      </c>
      <c r="U138" s="9">
        <f t="shared" si="35"/>
        <v>9.7309417040358746</v>
      </c>
      <c r="V138" s="4">
        <f t="shared" si="37"/>
        <v>0.69999999999999929</v>
      </c>
      <c r="W138" s="2">
        <f t="shared" si="38"/>
        <v>3.0000000000000027E-3</v>
      </c>
    </row>
    <row r="139" spans="1:23">
      <c r="A139">
        <v>280</v>
      </c>
      <c r="B139" s="4">
        <f t="shared" si="36"/>
        <v>225.5859375</v>
      </c>
      <c r="C139" s="4">
        <v>225</v>
      </c>
      <c r="D139" s="4">
        <v>23.1</v>
      </c>
      <c r="E139" s="4">
        <v>0.3</v>
      </c>
      <c r="F139" s="2">
        <v>0.94399999999999995</v>
      </c>
      <c r="G139" s="3">
        <v>5860</v>
      </c>
      <c r="H139" s="3">
        <v>221</v>
      </c>
      <c r="I139" s="3">
        <v>1300</v>
      </c>
      <c r="J139" s="3">
        <v>2210</v>
      </c>
      <c r="K139" s="3">
        <v>5975</v>
      </c>
      <c r="L139" s="3">
        <v>223</v>
      </c>
      <c r="M139" s="3">
        <v>1333</v>
      </c>
      <c r="N139" s="9">
        <f t="shared" si="28"/>
        <v>26.5158371040724</v>
      </c>
      <c r="O139" s="9">
        <f t="shared" si="29"/>
        <v>26.793721973094172</v>
      </c>
      <c r="P139" s="3">
        <f t="shared" si="30"/>
        <v>115</v>
      </c>
      <c r="Q139" s="3">
        <f t="shared" si="31"/>
        <v>2</v>
      </c>
      <c r="R139" s="3">
        <f t="shared" si="32"/>
        <v>33</v>
      </c>
      <c r="S139" s="9">
        <f t="shared" si="33"/>
        <v>0.27788486902177212</v>
      </c>
      <c r="T139" s="9">
        <f t="shared" si="34"/>
        <v>0.52036199095022628</v>
      </c>
      <c r="U139" s="9">
        <f t="shared" si="35"/>
        <v>9.7402597402597397</v>
      </c>
      <c r="V139" s="4">
        <f t="shared" si="37"/>
        <v>0.80000000000000071</v>
      </c>
      <c r="W139" s="2">
        <f t="shared" si="38"/>
        <v>2.0000000000000018E-3</v>
      </c>
    </row>
    <row r="140" spans="1:23">
      <c r="A140">
        <v>290</v>
      </c>
      <c r="B140" s="4">
        <f t="shared" si="36"/>
        <v>233.642578125</v>
      </c>
      <c r="C140" s="4">
        <v>233</v>
      </c>
      <c r="D140" s="4">
        <v>23.8</v>
      </c>
      <c r="E140" s="4">
        <v>0.3</v>
      </c>
      <c r="F140" s="2">
        <v>0.94599999999999995</v>
      </c>
      <c r="G140" s="3">
        <v>5860</v>
      </c>
      <c r="H140" s="3">
        <v>228</v>
      </c>
      <c r="I140" s="3">
        <v>1335</v>
      </c>
      <c r="J140" s="3">
        <v>2286</v>
      </c>
      <c r="K140" s="3">
        <v>5975</v>
      </c>
      <c r="L140" s="3">
        <v>230</v>
      </c>
      <c r="M140" s="3">
        <v>1374</v>
      </c>
      <c r="N140" s="9">
        <f t="shared" si="28"/>
        <v>25.701754385964911</v>
      </c>
      <c r="O140" s="9">
        <f t="shared" si="29"/>
        <v>25.978260869565219</v>
      </c>
      <c r="P140" s="3">
        <f t="shared" si="30"/>
        <v>115</v>
      </c>
      <c r="Q140" s="3">
        <f t="shared" si="31"/>
        <v>2</v>
      </c>
      <c r="R140" s="3">
        <f t="shared" si="32"/>
        <v>39</v>
      </c>
      <c r="S140" s="9">
        <f t="shared" si="33"/>
        <v>0.27650648360030772</v>
      </c>
      <c r="T140" s="9">
        <f t="shared" si="34"/>
        <v>0.50438596491228072</v>
      </c>
      <c r="U140" s="9">
        <f t="shared" si="35"/>
        <v>9.7899159663865536</v>
      </c>
      <c r="V140" s="4">
        <f t="shared" si="37"/>
        <v>0.69999999999999929</v>
      </c>
      <c r="W140" s="2">
        <f t="shared" si="38"/>
        <v>2.0000000000000018E-3</v>
      </c>
    </row>
    <row r="141" spans="1:23">
      <c r="A141">
        <v>300</v>
      </c>
      <c r="B141" s="4">
        <f t="shared" si="36"/>
        <v>241.69921875</v>
      </c>
      <c r="C141" s="4">
        <v>241</v>
      </c>
      <c r="D141" s="4">
        <v>24.6</v>
      </c>
      <c r="E141" s="4">
        <v>0.3</v>
      </c>
      <c r="F141" s="2">
        <v>0.94699999999999995</v>
      </c>
      <c r="G141" s="3">
        <v>5852</v>
      </c>
      <c r="H141" s="3">
        <v>235</v>
      </c>
      <c r="I141" s="3">
        <v>1380</v>
      </c>
      <c r="J141" s="3">
        <v>2362</v>
      </c>
      <c r="K141" s="3">
        <v>5975</v>
      </c>
      <c r="L141" s="3">
        <v>237</v>
      </c>
      <c r="M141" s="3">
        <v>1416</v>
      </c>
      <c r="N141" s="9">
        <f t="shared" si="28"/>
        <v>24.902127659574468</v>
      </c>
      <c r="O141" s="9">
        <f t="shared" si="29"/>
        <v>25.21097046413502</v>
      </c>
      <c r="P141" s="3">
        <f t="shared" si="30"/>
        <v>123</v>
      </c>
      <c r="Q141" s="3">
        <f t="shared" si="31"/>
        <v>2</v>
      </c>
      <c r="R141" s="3">
        <f t="shared" si="32"/>
        <v>36</v>
      </c>
      <c r="S141" s="9">
        <f t="shared" si="33"/>
        <v>0.3088428045605518</v>
      </c>
      <c r="T141" s="9">
        <f t="shared" si="34"/>
        <v>0.52340425531914891</v>
      </c>
      <c r="U141" s="9">
        <f t="shared" si="35"/>
        <v>9.7967479674796749</v>
      </c>
      <c r="V141" s="4">
        <f t="shared" si="37"/>
        <v>0.80000000000000071</v>
      </c>
      <c r="W141" s="2">
        <f t="shared" si="38"/>
        <v>1.0000000000000009E-3</v>
      </c>
    </row>
    <row r="142" spans="1:23">
      <c r="A142">
        <v>310</v>
      </c>
      <c r="B142" s="4">
        <f t="shared" si="36"/>
        <v>249.755859375</v>
      </c>
      <c r="C142" s="4">
        <v>249</v>
      </c>
      <c r="D142" s="4">
        <v>25.3</v>
      </c>
      <c r="E142" s="4">
        <v>0.3</v>
      </c>
      <c r="F142" s="2">
        <v>0.95</v>
      </c>
      <c r="G142" s="3">
        <v>5852</v>
      </c>
      <c r="H142" s="3">
        <v>242</v>
      </c>
      <c r="I142" s="3">
        <v>1418</v>
      </c>
      <c r="J142" s="3">
        <v>2434</v>
      </c>
      <c r="K142" s="3">
        <v>5975</v>
      </c>
      <c r="L142" s="3">
        <v>244</v>
      </c>
      <c r="M142" s="3">
        <v>1458</v>
      </c>
      <c r="N142" s="9">
        <f t="shared" si="28"/>
        <v>24.181818181818183</v>
      </c>
      <c r="O142" s="9">
        <f t="shared" si="29"/>
        <v>24.487704918032787</v>
      </c>
      <c r="P142" s="3">
        <f t="shared" si="30"/>
        <v>123</v>
      </c>
      <c r="Q142" s="3">
        <f t="shared" si="31"/>
        <v>2</v>
      </c>
      <c r="R142" s="3">
        <f t="shared" si="32"/>
        <v>40</v>
      </c>
      <c r="S142" s="9">
        <f t="shared" si="33"/>
        <v>0.30588673621460316</v>
      </c>
      <c r="T142" s="9">
        <f t="shared" si="34"/>
        <v>0.50826446280991733</v>
      </c>
      <c r="U142" s="9">
        <f t="shared" si="35"/>
        <v>9.8418972332015802</v>
      </c>
      <c r="V142" s="4">
        <f t="shared" si="37"/>
        <v>0.69999999999999929</v>
      </c>
      <c r="W142" s="2">
        <f t="shared" si="38"/>
        <v>3.0000000000000027E-3</v>
      </c>
    </row>
    <row r="143" spans="1:23">
      <c r="A143">
        <v>320</v>
      </c>
      <c r="B143" s="4">
        <f t="shared" si="36"/>
        <v>257.8125</v>
      </c>
      <c r="C143" s="4">
        <v>257</v>
      </c>
      <c r="D143" s="4">
        <v>26</v>
      </c>
      <c r="E143" s="4">
        <v>0.3</v>
      </c>
      <c r="F143" s="2">
        <v>0.95199999999999996</v>
      </c>
      <c r="G143" s="3">
        <v>5848</v>
      </c>
      <c r="H143" s="3">
        <v>249</v>
      </c>
      <c r="I143" s="3">
        <v>1457</v>
      </c>
      <c r="J143" s="3">
        <v>2504</v>
      </c>
      <c r="K143" s="3">
        <v>5975</v>
      </c>
      <c r="L143" s="3">
        <v>251</v>
      </c>
      <c r="M143" s="3">
        <v>1500</v>
      </c>
      <c r="N143" s="9">
        <f t="shared" si="28"/>
        <v>23.485943775100402</v>
      </c>
      <c r="O143" s="9">
        <f t="shared" si="29"/>
        <v>23.804780876494025</v>
      </c>
      <c r="P143" s="3">
        <f t="shared" si="30"/>
        <v>127</v>
      </c>
      <c r="Q143" s="3">
        <f t="shared" si="31"/>
        <v>2</v>
      </c>
      <c r="R143" s="3">
        <f t="shared" si="32"/>
        <v>43</v>
      </c>
      <c r="S143" s="9">
        <f t="shared" si="33"/>
        <v>0.31883710139362265</v>
      </c>
      <c r="T143" s="9">
        <f t="shared" si="34"/>
        <v>0.51004016064257029</v>
      </c>
      <c r="U143" s="9">
        <f t="shared" si="35"/>
        <v>9.884615384615385</v>
      </c>
      <c r="V143" s="4">
        <f t="shared" si="37"/>
        <v>0.69999999999999929</v>
      </c>
      <c r="W143" s="2">
        <f t="shared" si="38"/>
        <v>2.0000000000000018E-3</v>
      </c>
    </row>
    <row r="144" spans="1:23">
      <c r="A144">
        <v>330</v>
      </c>
      <c r="B144" s="4">
        <f t="shared" si="36"/>
        <v>265.869140625</v>
      </c>
      <c r="C144" s="4">
        <v>265</v>
      </c>
      <c r="D144" s="4">
        <v>26.7</v>
      </c>
      <c r="E144" s="4">
        <v>0.3</v>
      </c>
      <c r="F144" s="2">
        <v>0.95399999999999996</v>
      </c>
      <c r="G144" s="3">
        <v>5844</v>
      </c>
      <c r="H144" s="3">
        <v>256</v>
      </c>
      <c r="I144" s="3">
        <v>1500</v>
      </c>
      <c r="J144" s="3">
        <v>2577</v>
      </c>
      <c r="K144" s="3">
        <v>5975</v>
      </c>
      <c r="L144" s="3">
        <v>257</v>
      </c>
      <c r="M144" s="3">
        <v>1536</v>
      </c>
      <c r="N144" s="9">
        <f t="shared" si="28"/>
        <v>22.828125</v>
      </c>
      <c r="O144" s="9">
        <f t="shared" si="29"/>
        <v>23.249027237354085</v>
      </c>
      <c r="P144" s="3">
        <f t="shared" si="30"/>
        <v>131</v>
      </c>
      <c r="Q144" s="3">
        <f t="shared" si="31"/>
        <v>1</v>
      </c>
      <c r="R144" s="3">
        <f t="shared" si="32"/>
        <v>36</v>
      </c>
      <c r="S144" s="9">
        <f t="shared" si="33"/>
        <v>0.42090223735408472</v>
      </c>
      <c r="T144" s="9">
        <f t="shared" si="34"/>
        <v>0.51171875</v>
      </c>
      <c r="U144" s="9">
        <f t="shared" si="35"/>
        <v>9.9250936329588022</v>
      </c>
      <c r="V144" s="4">
        <f t="shared" si="37"/>
        <v>0.69999999999999929</v>
      </c>
      <c r="W144" s="2">
        <f t="shared" si="38"/>
        <v>2.0000000000000018E-3</v>
      </c>
    </row>
    <row r="145" spans="1:23">
      <c r="A145">
        <v>340</v>
      </c>
      <c r="B145" s="4">
        <f t="shared" si="36"/>
        <v>273.92578125</v>
      </c>
      <c r="C145" s="4">
        <v>273</v>
      </c>
      <c r="D145" s="4">
        <v>27.5</v>
      </c>
      <c r="E145" s="4">
        <v>0.3</v>
      </c>
      <c r="F145" s="2">
        <v>0.95499999999999996</v>
      </c>
      <c r="G145" s="3">
        <v>5836</v>
      </c>
      <c r="H145" s="3">
        <v>263</v>
      </c>
      <c r="I145" s="3">
        <v>1538</v>
      </c>
      <c r="J145" s="3">
        <v>2721</v>
      </c>
      <c r="K145" s="3">
        <v>5975</v>
      </c>
      <c r="L145" s="3">
        <v>264</v>
      </c>
      <c r="M145" s="3">
        <v>1577</v>
      </c>
      <c r="N145" s="9">
        <f t="shared" si="28"/>
        <v>22.190114068441066</v>
      </c>
      <c r="O145" s="9">
        <f t="shared" si="29"/>
        <v>22.632575757575758</v>
      </c>
      <c r="P145" s="3">
        <f t="shared" si="30"/>
        <v>139</v>
      </c>
      <c r="Q145" s="3">
        <f t="shared" si="31"/>
        <v>1</v>
      </c>
      <c r="R145" s="3">
        <f t="shared" si="32"/>
        <v>39</v>
      </c>
      <c r="S145" s="9">
        <f t="shared" si="33"/>
        <v>0.44246168913469219</v>
      </c>
      <c r="T145" s="9">
        <f t="shared" si="34"/>
        <v>0.52851711026615966</v>
      </c>
      <c r="U145" s="9">
        <f t="shared" si="35"/>
        <v>9.9272727272727277</v>
      </c>
      <c r="V145" s="4">
        <f t="shared" si="37"/>
        <v>0.80000000000000071</v>
      </c>
      <c r="W145" s="2">
        <f t="shared" si="38"/>
        <v>1.0000000000000009E-3</v>
      </c>
    </row>
    <row r="146" spans="1:23">
      <c r="A146">
        <v>350</v>
      </c>
      <c r="B146" s="4">
        <f t="shared" si="36"/>
        <v>281.982421875</v>
      </c>
      <c r="C146" s="4">
        <v>281</v>
      </c>
      <c r="D146" s="4">
        <v>28.2</v>
      </c>
      <c r="E146" s="4">
        <v>0.3</v>
      </c>
      <c r="F146" s="2">
        <v>0.95699999999999996</v>
      </c>
      <c r="G146" s="3">
        <v>5832</v>
      </c>
      <c r="H146" s="3">
        <v>270</v>
      </c>
      <c r="I146" s="3">
        <v>1578</v>
      </c>
      <c r="J146" s="3">
        <v>2767</v>
      </c>
      <c r="K146" s="3">
        <v>5975</v>
      </c>
      <c r="L146" s="3">
        <v>271</v>
      </c>
      <c r="M146" s="3">
        <v>1619</v>
      </c>
      <c r="N146" s="9">
        <f t="shared" si="28"/>
        <v>21.6</v>
      </c>
      <c r="O146" s="9">
        <f t="shared" si="29"/>
        <v>22.047970479704798</v>
      </c>
      <c r="P146" s="3">
        <f t="shared" si="30"/>
        <v>143</v>
      </c>
      <c r="Q146" s="3">
        <f t="shared" si="31"/>
        <v>1</v>
      </c>
      <c r="R146" s="3">
        <f t="shared" si="32"/>
        <v>41</v>
      </c>
      <c r="S146" s="9">
        <f t="shared" si="33"/>
        <v>0.44797047970479653</v>
      </c>
      <c r="T146" s="9">
        <f t="shared" si="34"/>
        <v>0.52962962962962967</v>
      </c>
      <c r="U146" s="9">
        <f t="shared" si="35"/>
        <v>9.9645390070921991</v>
      </c>
      <c r="V146" s="4">
        <f t="shared" si="37"/>
        <v>0.69999999999999929</v>
      </c>
      <c r="W146" s="2">
        <f t="shared" si="38"/>
        <v>2.0000000000000018E-3</v>
      </c>
    </row>
    <row r="147" spans="1:23">
      <c r="A147">
        <v>360</v>
      </c>
      <c r="B147" s="4">
        <f t="shared" si="36"/>
        <v>290.0390625</v>
      </c>
      <c r="C147" s="4">
        <v>289</v>
      </c>
      <c r="D147" s="4">
        <v>28.9</v>
      </c>
      <c r="E147" s="4">
        <v>0.3</v>
      </c>
      <c r="F147" s="2">
        <v>0.95699999999999996</v>
      </c>
      <c r="G147" s="3">
        <v>5832</v>
      </c>
      <c r="H147" s="3">
        <v>276</v>
      </c>
      <c r="I147" s="3">
        <v>1613</v>
      </c>
      <c r="J147" s="3">
        <v>2789</v>
      </c>
      <c r="K147" s="3">
        <v>5975</v>
      </c>
      <c r="L147" s="3">
        <v>278</v>
      </c>
      <c r="M147" s="3">
        <v>1661</v>
      </c>
      <c r="N147" s="9">
        <f t="shared" si="28"/>
        <v>21.130434782608695</v>
      </c>
      <c r="O147" s="9">
        <f t="shared" si="29"/>
        <v>21.492805755395683</v>
      </c>
      <c r="P147" s="3">
        <f t="shared" si="30"/>
        <v>143</v>
      </c>
      <c r="Q147" s="3">
        <f t="shared" si="31"/>
        <v>2</v>
      </c>
      <c r="R147" s="3">
        <f t="shared" si="32"/>
        <v>48</v>
      </c>
      <c r="S147" s="9">
        <f t="shared" si="33"/>
        <v>0.36237097278698727</v>
      </c>
      <c r="T147" s="9">
        <f t="shared" si="34"/>
        <v>0.51811594202898548</v>
      </c>
      <c r="U147" s="9">
        <f t="shared" si="35"/>
        <v>10</v>
      </c>
      <c r="V147" s="4">
        <f t="shared" si="37"/>
        <v>0.69999999999999929</v>
      </c>
      <c r="W147" s="2">
        <f t="shared" si="38"/>
        <v>0</v>
      </c>
    </row>
    <row r="148" spans="1:23">
      <c r="A148">
        <v>370</v>
      </c>
      <c r="B148" s="4">
        <f t="shared" si="36"/>
        <v>298.095703125</v>
      </c>
      <c r="C148" s="4">
        <v>297</v>
      </c>
      <c r="D148" s="4">
        <v>29.6</v>
      </c>
      <c r="E148" s="4">
        <v>0.3</v>
      </c>
      <c r="F148" s="2">
        <v>0.95899999999999996</v>
      </c>
      <c r="G148" s="3">
        <v>5824</v>
      </c>
      <c r="H148" s="3">
        <v>284</v>
      </c>
      <c r="I148" s="3">
        <v>1657</v>
      </c>
      <c r="J148" s="3">
        <v>2917</v>
      </c>
      <c r="K148" s="3">
        <v>5975</v>
      </c>
      <c r="L148" s="3">
        <v>285</v>
      </c>
      <c r="M148" s="3">
        <v>1703</v>
      </c>
      <c r="N148" s="9">
        <f t="shared" si="28"/>
        <v>20.507042253521128</v>
      </c>
      <c r="O148" s="9">
        <f t="shared" si="29"/>
        <v>20.964912280701753</v>
      </c>
      <c r="P148" s="3">
        <f t="shared" si="30"/>
        <v>151</v>
      </c>
      <c r="Q148" s="3">
        <f t="shared" si="31"/>
        <v>1</v>
      </c>
      <c r="R148" s="3">
        <f t="shared" si="32"/>
        <v>46</v>
      </c>
      <c r="S148" s="9">
        <f t="shared" si="33"/>
        <v>0.45787002718062553</v>
      </c>
      <c r="T148" s="9">
        <f t="shared" si="34"/>
        <v>0.53169014084507038</v>
      </c>
      <c r="U148" s="9">
        <f t="shared" si="35"/>
        <v>10.033783783783782</v>
      </c>
      <c r="V148" s="4">
        <f t="shared" si="37"/>
        <v>0.70000000000000284</v>
      </c>
      <c r="W148" s="2">
        <f t="shared" si="38"/>
        <v>2.0000000000000018E-3</v>
      </c>
    </row>
    <row r="149" spans="1:23">
      <c r="A149">
        <v>380</v>
      </c>
      <c r="B149" s="4">
        <f t="shared" si="36"/>
        <v>306.15234375</v>
      </c>
      <c r="C149" s="4">
        <v>305</v>
      </c>
      <c r="D149" s="4">
        <v>30.3</v>
      </c>
      <c r="E149" s="4">
        <v>0.3</v>
      </c>
      <c r="F149" s="2">
        <v>0.96099999999999997</v>
      </c>
      <c r="G149" s="3">
        <v>5824</v>
      </c>
      <c r="H149" s="3">
        <v>290</v>
      </c>
      <c r="I149" s="3">
        <v>1691</v>
      </c>
      <c r="J149" s="3">
        <v>2973</v>
      </c>
      <c r="K149" s="3">
        <v>5975</v>
      </c>
      <c r="L149" s="3">
        <v>292</v>
      </c>
      <c r="M149" s="3">
        <v>1745</v>
      </c>
      <c r="N149" s="9">
        <f t="shared" si="28"/>
        <v>20.082758620689656</v>
      </c>
      <c r="O149" s="9">
        <f t="shared" si="29"/>
        <v>20.462328767123289</v>
      </c>
      <c r="P149" s="3">
        <f t="shared" si="30"/>
        <v>151</v>
      </c>
      <c r="Q149" s="3">
        <f t="shared" si="31"/>
        <v>2</v>
      </c>
      <c r="R149" s="3">
        <f t="shared" si="32"/>
        <v>54</v>
      </c>
      <c r="S149" s="9">
        <f t="shared" si="33"/>
        <v>0.37957014643363252</v>
      </c>
      <c r="T149" s="9">
        <f t="shared" si="34"/>
        <v>0.52068965517241383</v>
      </c>
      <c r="U149" s="9">
        <f t="shared" si="35"/>
        <v>10.066006600660065</v>
      </c>
      <c r="V149" s="4">
        <f t="shared" si="37"/>
        <v>0.69999999999999929</v>
      </c>
      <c r="W149" s="2">
        <f t="shared" si="38"/>
        <v>2.0000000000000018E-3</v>
      </c>
    </row>
    <row r="150" spans="1:23">
      <c r="A150">
        <v>390</v>
      </c>
      <c r="B150" s="4">
        <f t="shared" si="36"/>
        <v>314.208984375</v>
      </c>
      <c r="C150" s="4">
        <v>313</v>
      </c>
      <c r="D150" s="4">
        <v>31</v>
      </c>
      <c r="E150" s="4">
        <v>0.4</v>
      </c>
      <c r="F150" s="2">
        <v>0.96299999999999997</v>
      </c>
      <c r="G150" s="3">
        <v>5820</v>
      </c>
      <c r="H150" s="3">
        <v>296</v>
      </c>
      <c r="I150" s="3">
        <v>1729</v>
      </c>
      <c r="J150" s="3">
        <v>3001</v>
      </c>
      <c r="K150" s="3">
        <v>5975</v>
      </c>
      <c r="L150" s="3">
        <v>299</v>
      </c>
      <c r="M150" s="3">
        <v>1786</v>
      </c>
      <c r="N150" s="9">
        <f t="shared" si="28"/>
        <v>19.662162162162161</v>
      </c>
      <c r="O150" s="9">
        <f t="shared" si="29"/>
        <v>19.983277591973245</v>
      </c>
      <c r="P150" s="3">
        <f t="shared" si="30"/>
        <v>155</v>
      </c>
      <c r="Q150" s="3">
        <f t="shared" si="31"/>
        <v>3</v>
      </c>
      <c r="R150" s="3">
        <f t="shared" si="32"/>
        <v>57</v>
      </c>
      <c r="S150" s="9">
        <f t="shared" si="33"/>
        <v>0.32111542981108343</v>
      </c>
      <c r="T150" s="9">
        <f t="shared" si="34"/>
        <v>0.52364864864864868</v>
      </c>
      <c r="U150" s="9">
        <f t="shared" si="35"/>
        <v>10.096774193548388</v>
      </c>
      <c r="V150" s="4">
        <f t="shared" si="37"/>
        <v>0.69999999999999929</v>
      </c>
      <c r="W150" s="2">
        <f t="shared" si="38"/>
        <v>2.0000000000000018E-3</v>
      </c>
    </row>
    <row r="151" spans="1:23">
      <c r="A151">
        <v>400</v>
      </c>
      <c r="B151" s="4">
        <f t="shared" si="36"/>
        <v>322.265625</v>
      </c>
      <c r="C151" s="4">
        <v>321</v>
      </c>
      <c r="D151" s="4">
        <v>31.7</v>
      </c>
      <c r="E151" s="4">
        <v>0.4</v>
      </c>
      <c r="F151" s="2">
        <v>0.96499999999999997</v>
      </c>
      <c r="G151" s="3">
        <v>5816</v>
      </c>
      <c r="H151" s="3">
        <v>304</v>
      </c>
      <c r="I151" s="3">
        <v>1770</v>
      </c>
      <c r="J151" s="3">
        <v>3121</v>
      </c>
      <c r="K151" s="3">
        <v>5975</v>
      </c>
      <c r="L151" s="3">
        <v>305</v>
      </c>
      <c r="M151" s="3">
        <v>1822</v>
      </c>
      <c r="N151" s="9">
        <f t="shared" si="28"/>
        <v>19.131578947368421</v>
      </c>
      <c r="O151" s="9">
        <f t="shared" si="29"/>
        <v>19.590163934426229</v>
      </c>
      <c r="P151" s="3">
        <f t="shared" si="30"/>
        <v>159</v>
      </c>
      <c r="Q151" s="3">
        <f t="shared" si="31"/>
        <v>1</v>
      </c>
      <c r="R151" s="3">
        <f t="shared" si="32"/>
        <v>52</v>
      </c>
      <c r="S151" s="9">
        <f t="shared" si="33"/>
        <v>0.45858498705780804</v>
      </c>
      <c r="T151" s="9">
        <f t="shared" si="34"/>
        <v>0.52302631578947367</v>
      </c>
      <c r="U151" s="9">
        <f t="shared" si="35"/>
        <v>10.126182965299686</v>
      </c>
      <c r="V151" s="4">
        <f t="shared" si="37"/>
        <v>0.69999999999999929</v>
      </c>
      <c r="W151" s="2">
        <f t="shared" si="38"/>
        <v>2.0000000000000018E-3</v>
      </c>
    </row>
    <row r="152" spans="1:23">
      <c r="A152">
        <v>410</v>
      </c>
      <c r="B152" s="4">
        <f t="shared" si="36"/>
        <v>330.322265625</v>
      </c>
      <c r="C152" s="4">
        <v>329</v>
      </c>
      <c r="D152" s="4">
        <v>32.4</v>
      </c>
      <c r="E152" s="4">
        <v>0.4</v>
      </c>
      <c r="F152" s="2">
        <v>0.96699999999999997</v>
      </c>
      <c r="G152" s="3">
        <v>5812</v>
      </c>
      <c r="H152" s="3">
        <v>311</v>
      </c>
      <c r="I152" s="3">
        <v>1807</v>
      </c>
      <c r="J152" s="3">
        <v>3186</v>
      </c>
      <c r="K152" s="3">
        <v>5975</v>
      </c>
      <c r="L152" s="3">
        <v>312</v>
      </c>
      <c r="M152" s="3">
        <v>1864</v>
      </c>
      <c r="N152" s="9">
        <f t="shared" si="28"/>
        <v>18.688102893890676</v>
      </c>
      <c r="O152" s="9">
        <f t="shared" si="29"/>
        <v>19.150641025641026</v>
      </c>
      <c r="P152" s="3">
        <f t="shared" si="30"/>
        <v>163</v>
      </c>
      <c r="Q152" s="3">
        <f t="shared" si="31"/>
        <v>1</v>
      </c>
      <c r="R152" s="3">
        <f t="shared" si="32"/>
        <v>57</v>
      </c>
      <c r="S152" s="9">
        <f t="shared" si="33"/>
        <v>0.46253813175034963</v>
      </c>
      <c r="T152" s="9">
        <f t="shared" si="34"/>
        <v>0.52411575562700963</v>
      </c>
      <c r="U152" s="9">
        <f t="shared" si="35"/>
        <v>10.154320987654321</v>
      </c>
      <c r="V152" s="4">
        <f t="shared" si="37"/>
        <v>0.69999999999999929</v>
      </c>
      <c r="W152" s="2">
        <f t="shared" si="38"/>
        <v>2.0000000000000018E-3</v>
      </c>
    </row>
    <row r="153" spans="1:23">
      <c r="A153">
        <v>420</v>
      </c>
      <c r="B153" s="4">
        <f t="shared" si="36"/>
        <v>338.37890625</v>
      </c>
      <c r="C153" s="4">
        <v>337</v>
      </c>
      <c r="D153" s="4">
        <v>33.1</v>
      </c>
      <c r="E153" s="4">
        <v>0.4</v>
      </c>
      <c r="F153" s="2">
        <v>0.96899999999999997</v>
      </c>
      <c r="G153" s="3">
        <v>5808</v>
      </c>
      <c r="H153" s="3">
        <v>317</v>
      </c>
      <c r="I153" s="3">
        <v>1842</v>
      </c>
      <c r="J153" s="3">
        <v>3203</v>
      </c>
      <c r="K153" s="3">
        <v>5975</v>
      </c>
      <c r="L153" s="3">
        <v>319</v>
      </c>
      <c r="M153" s="3">
        <v>1906</v>
      </c>
      <c r="N153" s="9">
        <f t="shared" si="28"/>
        <v>18.321766561514195</v>
      </c>
      <c r="O153" s="9">
        <f t="shared" si="29"/>
        <v>18.730407523510973</v>
      </c>
      <c r="P153" s="3">
        <f t="shared" si="30"/>
        <v>167</v>
      </c>
      <c r="Q153" s="3">
        <f t="shared" si="31"/>
        <v>2</v>
      </c>
      <c r="R153" s="3">
        <f t="shared" si="32"/>
        <v>64</v>
      </c>
      <c r="S153" s="9">
        <f t="shared" si="33"/>
        <v>0.40864096199677746</v>
      </c>
      <c r="T153" s="9">
        <f t="shared" si="34"/>
        <v>0.52681388012618302</v>
      </c>
      <c r="U153" s="9">
        <f t="shared" si="35"/>
        <v>10.181268882175226</v>
      </c>
      <c r="V153" s="4">
        <f t="shared" si="37"/>
        <v>0.70000000000000284</v>
      </c>
      <c r="W153" s="2">
        <f t="shared" si="38"/>
        <v>2.0000000000000018E-3</v>
      </c>
    </row>
    <row r="154" spans="1:23">
      <c r="A154">
        <v>430</v>
      </c>
      <c r="B154" s="4">
        <f t="shared" si="36"/>
        <v>346.435546875</v>
      </c>
      <c r="C154" s="4">
        <v>345</v>
      </c>
      <c r="D154" s="4">
        <v>33.799999999999997</v>
      </c>
      <c r="E154" s="4">
        <v>0.4</v>
      </c>
      <c r="F154" s="2">
        <v>0.97099999999999997</v>
      </c>
      <c r="G154" s="3">
        <v>5804</v>
      </c>
      <c r="H154" s="3">
        <v>324</v>
      </c>
      <c r="I154" s="3">
        <v>1882</v>
      </c>
      <c r="J154" s="3">
        <v>3275</v>
      </c>
      <c r="K154" s="3">
        <v>5975</v>
      </c>
      <c r="L154" s="3">
        <v>325</v>
      </c>
      <c r="M154" s="3">
        <v>1942</v>
      </c>
      <c r="N154" s="9">
        <f t="shared" si="28"/>
        <v>17.913580246913579</v>
      </c>
      <c r="O154" s="9">
        <f t="shared" si="29"/>
        <v>18.384615384615383</v>
      </c>
      <c r="P154" s="3">
        <f t="shared" si="30"/>
        <v>171</v>
      </c>
      <c r="Q154" s="3">
        <f t="shared" si="31"/>
        <v>1</v>
      </c>
      <c r="R154" s="3">
        <f t="shared" si="32"/>
        <v>60</v>
      </c>
      <c r="S154" s="9">
        <f t="shared" si="33"/>
        <v>0.47103513770180427</v>
      </c>
      <c r="T154" s="9">
        <f t="shared" si="34"/>
        <v>0.52777777777777779</v>
      </c>
      <c r="U154" s="9">
        <f t="shared" si="35"/>
        <v>10.207100591715978</v>
      </c>
      <c r="V154" s="4">
        <f t="shared" si="37"/>
        <v>0.69999999999999574</v>
      </c>
      <c r="W154" s="2">
        <f t="shared" si="38"/>
        <v>2.0000000000000018E-3</v>
      </c>
    </row>
    <row r="155" spans="1:23">
      <c r="A155">
        <v>440</v>
      </c>
      <c r="B155" s="4">
        <f t="shared" si="36"/>
        <v>354.4921875</v>
      </c>
      <c r="C155" s="4">
        <v>353</v>
      </c>
      <c r="D155" s="4">
        <v>34.5</v>
      </c>
      <c r="E155" s="4">
        <v>0.4</v>
      </c>
      <c r="F155" s="2">
        <v>0.97299999999999998</v>
      </c>
      <c r="G155" s="3">
        <v>5800</v>
      </c>
      <c r="H155" s="3">
        <v>331</v>
      </c>
      <c r="I155" s="3">
        <v>1922</v>
      </c>
      <c r="J155" s="3">
        <v>3351</v>
      </c>
      <c r="K155" s="3">
        <v>5975</v>
      </c>
      <c r="L155" s="3">
        <v>332</v>
      </c>
      <c r="M155" s="3">
        <v>1984</v>
      </c>
      <c r="N155" s="9">
        <f t="shared" si="28"/>
        <v>17.522658610271904</v>
      </c>
      <c r="O155" s="9">
        <f t="shared" si="29"/>
        <v>17.996987951807228</v>
      </c>
      <c r="P155" s="3">
        <f t="shared" si="30"/>
        <v>175</v>
      </c>
      <c r="Q155" s="3">
        <f t="shared" si="31"/>
        <v>1</v>
      </c>
      <c r="R155" s="3">
        <f t="shared" si="32"/>
        <v>62</v>
      </c>
      <c r="S155" s="9">
        <f t="shared" si="33"/>
        <v>0.47432934153532358</v>
      </c>
      <c r="T155" s="9">
        <f t="shared" si="34"/>
        <v>0.52870090634441091</v>
      </c>
      <c r="U155" s="9">
        <f t="shared" si="35"/>
        <v>10.231884057971014</v>
      </c>
      <c r="V155" s="4">
        <f t="shared" si="37"/>
        <v>0.70000000000000284</v>
      </c>
      <c r="W155" s="2">
        <f t="shared" si="38"/>
        <v>2.0000000000000018E-3</v>
      </c>
    </row>
    <row r="156" spans="1:23">
      <c r="A156">
        <v>450</v>
      </c>
      <c r="B156" s="4">
        <f t="shared" si="36"/>
        <v>362.548828125</v>
      </c>
      <c r="C156" s="4">
        <v>360</v>
      </c>
      <c r="D156" s="4">
        <v>35.200000000000003</v>
      </c>
      <c r="E156" s="4">
        <v>0.4</v>
      </c>
      <c r="F156" s="2">
        <v>0.97499999999999998</v>
      </c>
      <c r="G156" s="3">
        <v>5796</v>
      </c>
      <c r="H156" s="3">
        <v>337</v>
      </c>
      <c r="I156" s="3">
        <v>1955</v>
      </c>
      <c r="J156" s="3">
        <v>3456</v>
      </c>
      <c r="K156" s="3">
        <v>5975</v>
      </c>
      <c r="L156" s="3">
        <v>339</v>
      </c>
      <c r="M156" s="3">
        <v>2025</v>
      </c>
      <c r="N156" s="9">
        <f t="shared" si="28"/>
        <v>17.198813056379823</v>
      </c>
      <c r="O156" s="9">
        <f t="shared" si="29"/>
        <v>17.625368731563423</v>
      </c>
      <c r="P156" s="3">
        <f t="shared" si="30"/>
        <v>179</v>
      </c>
      <c r="Q156" s="3">
        <f t="shared" si="31"/>
        <v>2</v>
      </c>
      <c r="R156" s="3">
        <f t="shared" si="32"/>
        <v>70</v>
      </c>
      <c r="S156" s="9">
        <f t="shared" si="33"/>
        <v>0.42655567518360016</v>
      </c>
      <c r="T156" s="9">
        <f t="shared" si="34"/>
        <v>0.53115727002967361</v>
      </c>
      <c r="U156" s="9">
        <f t="shared" si="35"/>
        <v>10.227272727272727</v>
      </c>
      <c r="V156" s="4">
        <f t="shared" si="37"/>
        <v>0.70000000000000284</v>
      </c>
      <c r="W156" s="2">
        <f t="shared" si="38"/>
        <v>2.0000000000000018E-3</v>
      </c>
    </row>
    <row r="157" spans="1:23">
      <c r="A157">
        <v>460</v>
      </c>
      <c r="B157" s="4">
        <f t="shared" si="36"/>
        <v>370.60546875</v>
      </c>
      <c r="C157" s="4">
        <v>369</v>
      </c>
      <c r="D157" s="4">
        <v>35.9</v>
      </c>
      <c r="E157" s="4">
        <v>0.4</v>
      </c>
      <c r="F157" s="2">
        <v>0.97699999999999998</v>
      </c>
      <c r="G157" s="3">
        <v>5792</v>
      </c>
      <c r="H157" s="3">
        <v>344</v>
      </c>
      <c r="I157" s="3">
        <v>1998</v>
      </c>
      <c r="J157" s="3">
        <v>3490</v>
      </c>
      <c r="K157" s="3">
        <v>5975</v>
      </c>
      <c r="L157" s="3">
        <v>345</v>
      </c>
      <c r="M157" s="3">
        <v>2061</v>
      </c>
      <c r="N157" s="9">
        <f t="shared" si="28"/>
        <v>16.837209302325583</v>
      </c>
      <c r="O157" s="9">
        <f t="shared" si="29"/>
        <v>17.318840579710145</v>
      </c>
      <c r="P157" s="3">
        <f t="shared" si="30"/>
        <v>183</v>
      </c>
      <c r="Q157" s="3">
        <f t="shared" si="31"/>
        <v>1</v>
      </c>
      <c r="R157" s="3">
        <f t="shared" si="32"/>
        <v>63</v>
      </c>
      <c r="S157" s="9">
        <f t="shared" si="33"/>
        <v>0.48163127738456168</v>
      </c>
      <c r="T157" s="9">
        <f t="shared" si="34"/>
        <v>0.53197674418604646</v>
      </c>
      <c r="U157" s="9">
        <f t="shared" si="35"/>
        <v>10.278551532033427</v>
      </c>
      <c r="V157" s="4">
        <f t="shared" si="37"/>
        <v>0.69999999999999574</v>
      </c>
      <c r="W157" s="2">
        <f t="shared" si="38"/>
        <v>2.0000000000000018E-3</v>
      </c>
    </row>
    <row r="158" spans="1:23">
      <c r="A158">
        <v>470</v>
      </c>
      <c r="B158" s="4">
        <f t="shared" si="36"/>
        <v>378.662109375</v>
      </c>
      <c r="C158" s="4">
        <v>376</v>
      </c>
      <c r="D158" s="4">
        <v>36.6</v>
      </c>
      <c r="E158" s="4">
        <v>0.4</v>
      </c>
      <c r="F158" s="2">
        <v>0.98</v>
      </c>
      <c r="G158" s="3">
        <v>5788</v>
      </c>
      <c r="H158" s="3">
        <v>350</v>
      </c>
      <c r="I158" s="3">
        <v>2032</v>
      </c>
      <c r="J158" s="3">
        <v>3562</v>
      </c>
      <c r="K158" s="3">
        <v>5975</v>
      </c>
      <c r="L158" s="3">
        <v>352</v>
      </c>
      <c r="M158" s="3">
        <v>2103</v>
      </c>
      <c r="N158" s="9">
        <f t="shared" si="28"/>
        <v>16.537142857142857</v>
      </c>
      <c r="O158" s="9">
        <f t="shared" si="29"/>
        <v>16.974431818181817</v>
      </c>
      <c r="P158" s="3">
        <f t="shared" si="30"/>
        <v>187</v>
      </c>
      <c r="Q158" s="3">
        <f t="shared" si="31"/>
        <v>2</v>
      </c>
      <c r="R158" s="3">
        <f t="shared" si="32"/>
        <v>71</v>
      </c>
      <c r="S158" s="9">
        <f t="shared" si="33"/>
        <v>0.4372889610389592</v>
      </c>
      <c r="T158" s="9">
        <f t="shared" si="34"/>
        <v>0.53428571428571425</v>
      </c>
      <c r="U158" s="9">
        <f t="shared" si="35"/>
        <v>10.273224043715846</v>
      </c>
      <c r="V158" s="4">
        <f t="shared" si="37"/>
        <v>0.70000000000000284</v>
      </c>
      <c r="W158" s="2">
        <f t="shared" si="38"/>
        <v>3.0000000000000027E-3</v>
      </c>
    </row>
    <row r="159" spans="1:23">
      <c r="A159">
        <v>480</v>
      </c>
      <c r="B159" s="4">
        <f t="shared" si="36"/>
        <v>386.71875</v>
      </c>
      <c r="C159" s="4">
        <v>384</v>
      </c>
      <c r="D159" s="4">
        <v>37.299999999999997</v>
      </c>
      <c r="E159" s="4">
        <v>0.4</v>
      </c>
      <c r="F159" s="2">
        <v>0.98099999999999998</v>
      </c>
      <c r="G159" s="3">
        <v>5788</v>
      </c>
      <c r="H159" s="3">
        <v>358</v>
      </c>
      <c r="I159" s="3">
        <v>2073</v>
      </c>
      <c r="J159" s="3">
        <v>3629</v>
      </c>
      <c r="K159" s="3">
        <v>5975</v>
      </c>
      <c r="L159" s="3">
        <v>359</v>
      </c>
      <c r="M159" s="3">
        <v>2145</v>
      </c>
      <c r="N159" s="9">
        <f t="shared" si="28"/>
        <v>16.16759776536313</v>
      </c>
      <c r="O159" s="9">
        <f t="shared" si="29"/>
        <v>16.643454038997213</v>
      </c>
      <c r="P159" s="3">
        <f t="shared" si="30"/>
        <v>187</v>
      </c>
      <c r="Q159" s="3">
        <f t="shared" si="31"/>
        <v>1</v>
      </c>
      <c r="R159" s="3">
        <f t="shared" si="32"/>
        <v>72</v>
      </c>
      <c r="S159" s="9">
        <f t="shared" si="33"/>
        <v>0.47585627363408278</v>
      </c>
      <c r="T159" s="9">
        <f t="shared" si="34"/>
        <v>0.52234636871508378</v>
      </c>
      <c r="U159" s="9">
        <f t="shared" si="35"/>
        <v>10.294906166219841</v>
      </c>
      <c r="V159" s="4">
        <f t="shared" si="37"/>
        <v>0.69999999999999574</v>
      </c>
      <c r="W159" s="2">
        <f t="shared" si="38"/>
        <v>1.0000000000000009E-3</v>
      </c>
    </row>
    <row r="160" spans="1:23">
      <c r="A160">
        <v>490</v>
      </c>
      <c r="B160" s="4">
        <f t="shared" si="36"/>
        <v>394.775390625</v>
      </c>
      <c r="C160" s="4">
        <v>392</v>
      </c>
      <c r="D160" s="4">
        <v>39</v>
      </c>
      <c r="E160" s="4">
        <v>0.4</v>
      </c>
      <c r="F160" s="2">
        <v>0.98299999999999998</v>
      </c>
      <c r="G160" s="3">
        <v>5784</v>
      </c>
      <c r="H160" s="3">
        <v>364</v>
      </c>
      <c r="I160" s="3">
        <v>2110</v>
      </c>
      <c r="J160" s="3">
        <v>3698</v>
      </c>
      <c r="K160" s="3">
        <v>5975</v>
      </c>
      <c r="L160" s="3">
        <v>366</v>
      </c>
      <c r="M160" s="3">
        <v>2186</v>
      </c>
      <c r="N160" s="9">
        <f t="shared" si="28"/>
        <v>15.890109890109891</v>
      </c>
      <c r="O160" s="9">
        <f t="shared" si="29"/>
        <v>16.325136612021858</v>
      </c>
      <c r="P160" s="3">
        <f t="shared" si="30"/>
        <v>191</v>
      </c>
      <c r="Q160" s="3">
        <f t="shared" si="31"/>
        <v>2</v>
      </c>
      <c r="R160" s="3">
        <f t="shared" si="32"/>
        <v>76</v>
      </c>
      <c r="S160" s="9">
        <f t="shared" si="33"/>
        <v>0.43502672191196723</v>
      </c>
      <c r="T160" s="9">
        <f t="shared" si="34"/>
        <v>0.52472527472527475</v>
      </c>
      <c r="U160" s="9">
        <f t="shared" si="35"/>
        <v>10.051282051282051</v>
      </c>
      <c r="V160" s="4">
        <f t="shared" si="37"/>
        <v>1.7000000000000028</v>
      </c>
      <c r="W160" s="2">
        <f t="shared" si="38"/>
        <v>2.0000000000000018E-3</v>
      </c>
    </row>
    <row r="161" spans="1:23">
      <c r="A161">
        <v>500</v>
      </c>
      <c r="B161" s="4">
        <f t="shared" si="36"/>
        <v>402.83203125</v>
      </c>
      <c r="C161" s="4">
        <v>400</v>
      </c>
      <c r="D161" s="4">
        <v>38.700000000000003</v>
      </c>
      <c r="E161" s="4">
        <v>0.4</v>
      </c>
      <c r="F161" s="2">
        <v>0.98499999999999999</v>
      </c>
      <c r="G161" s="3">
        <v>5776</v>
      </c>
      <c r="H161" s="3">
        <v>371</v>
      </c>
      <c r="I161" s="3">
        <v>2148</v>
      </c>
      <c r="J161" s="3">
        <v>3816</v>
      </c>
      <c r="K161" s="3">
        <v>5975</v>
      </c>
      <c r="L161" s="3">
        <v>373</v>
      </c>
      <c r="M161" s="3">
        <v>2228</v>
      </c>
      <c r="N161" s="9">
        <f t="shared" si="28"/>
        <v>15.568733153638814</v>
      </c>
      <c r="O161" s="9">
        <f t="shared" si="29"/>
        <v>16.018766756032171</v>
      </c>
      <c r="P161" s="3">
        <f t="shared" si="30"/>
        <v>199</v>
      </c>
      <c r="Q161" s="3">
        <f t="shared" si="31"/>
        <v>2</v>
      </c>
      <c r="R161" s="3">
        <f t="shared" si="32"/>
        <v>80</v>
      </c>
      <c r="S161" s="9">
        <f t="shared" si="33"/>
        <v>0.45003360239335777</v>
      </c>
      <c r="T161" s="9">
        <f t="shared" si="34"/>
        <v>0.53638814016172509</v>
      </c>
      <c r="U161" s="9">
        <f t="shared" si="35"/>
        <v>10.335917312661499</v>
      </c>
      <c r="V161" s="4">
        <f t="shared" si="37"/>
        <v>-0.29999999999999716</v>
      </c>
      <c r="W161" s="2">
        <f t="shared" si="38"/>
        <v>2.0000000000000018E-3</v>
      </c>
    </row>
    <row r="162" spans="1:23">
      <c r="A162">
        <v>510</v>
      </c>
      <c r="B162" s="4">
        <f t="shared" si="36"/>
        <v>410.888671875</v>
      </c>
      <c r="C162" s="4">
        <v>408</v>
      </c>
      <c r="D162" s="4">
        <v>39.5</v>
      </c>
      <c r="E162" s="4">
        <v>0.4</v>
      </c>
      <c r="F162" s="2">
        <v>0.98699999999999999</v>
      </c>
      <c r="G162" s="3">
        <v>5772</v>
      </c>
      <c r="H162" s="3">
        <v>378</v>
      </c>
      <c r="I162" s="3">
        <v>2187</v>
      </c>
      <c r="J162" s="3">
        <v>3884</v>
      </c>
      <c r="K162" s="3">
        <v>5975</v>
      </c>
      <c r="L162" s="3">
        <v>380</v>
      </c>
      <c r="M162" s="3">
        <v>2270</v>
      </c>
      <c r="N162" s="9">
        <f t="shared" si="28"/>
        <v>15.269841269841271</v>
      </c>
      <c r="O162" s="9">
        <f t="shared" si="29"/>
        <v>15.723684210526315</v>
      </c>
      <c r="P162" s="3">
        <f t="shared" si="30"/>
        <v>203</v>
      </c>
      <c r="Q162" s="3">
        <f t="shared" si="31"/>
        <v>2</v>
      </c>
      <c r="R162" s="3">
        <f t="shared" si="32"/>
        <v>83</v>
      </c>
      <c r="S162" s="9">
        <f t="shared" si="33"/>
        <v>0.45384294068504438</v>
      </c>
      <c r="T162" s="9">
        <f t="shared" si="34"/>
        <v>0.53703703703703709</v>
      </c>
      <c r="U162" s="9">
        <f t="shared" si="35"/>
        <v>10.329113924050633</v>
      </c>
      <c r="V162" s="4">
        <f t="shared" si="37"/>
        <v>0.79999999999999716</v>
      </c>
      <c r="W162" s="2">
        <f t="shared" si="38"/>
        <v>2.0000000000000018E-3</v>
      </c>
    </row>
    <row r="163" spans="1:23">
      <c r="A163">
        <v>520</v>
      </c>
      <c r="B163" s="4">
        <f t="shared" si="36"/>
        <v>418.9453125</v>
      </c>
      <c r="C163" s="4">
        <v>416</v>
      </c>
      <c r="D163" s="4">
        <v>40.200000000000003</v>
      </c>
      <c r="E163" s="4">
        <v>0.4</v>
      </c>
      <c r="F163" s="2">
        <v>0.99</v>
      </c>
      <c r="G163" s="3">
        <v>5772</v>
      </c>
      <c r="H163" s="3">
        <v>386</v>
      </c>
      <c r="I163" s="3">
        <v>2230</v>
      </c>
      <c r="J163" s="3">
        <v>3913</v>
      </c>
      <c r="K163" s="3">
        <v>5975</v>
      </c>
      <c r="L163" s="3">
        <v>387</v>
      </c>
      <c r="M163" s="3">
        <v>2312</v>
      </c>
      <c r="N163" s="9">
        <f t="shared" si="28"/>
        <v>14.953367875647668</v>
      </c>
      <c r="O163" s="9">
        <f t="shared" si="29"/>
        <v>15.439276485788113</v>
      </c>
      <c r="P163" s="3">
        <f t="shared" ref="P163:P169" si="39">(K163-G163)</f>
        <v>203</v>
      </c>
      <c r="Q163" s="3">
        <f t="shared" ref="Q163:Q169" si="40">(L163-H163)</f>
        <v>1</v>
      </c>
      <c r="R163" s="3">
        <f t="shared" ref="R163:R169" si="41">(M163-I163)</f>
        <v>82</v>
      </c>
      <c r="S163" s="9">
        <f t="shared" si="33"/>
        <v>0.48590861014044506</v>
      </c>
      <c r="T163" s="9">
        <f t="shared" si="34"/>
        <v>0.52590673575129532</v>
      </c>
      <c r="U163" s="9">
        <f t="shared" si="35"/>
        <v>10.348258706467661</v>
      </c>
      <c r="V163" s="4">
        <f t="shared" si="37"/>
        <v>0.70000000000000284</v>
      </c>
      <c r="W163" s="2">
        <f t="shared" si="38"/>
        <v>3.0000000000000027E-3</v>
      </c>
    </row>
    <row r="164" spans="1:23">
      <c r="A164">
        <v>530</v>
      </c>
      <c r="B164" s="4">
        <f t="shared" si="36"/>
        <v>427.001953125</v>
      </c>
      <c r="C164" s="4">
        <v>424</v>
      </c>
      <c r="D164" s="4">
        <v>41</v>
      </c>
      <c r="E164" s="4">
        <v>0.5</v>
      </c>
      <c r="F164" s="2">
        <v>0.99199999999999999</v>
      </c>
      <c r="G164" s="3">
        <v>5764</v>
      </c>
      <c r="H164" s="3">
        <v>393</v>
      </c>
      <c r="I164" s="3">
        <v>2265</v>
      </c>
      <c r="J164" s="3">
        <v>4041</v>
      </c>
      <c r="K164" s="3">
        <v>5975</v>
      </c>
      <c r="L164" s="3">
        <v>394</v>
      </c>
      <c r="M164" s="3">
        <v>2354</v>
      </c>
      <c r="N164" s="9">
        <f t="shared" si="28"/>
        <v>14.666666666666666</v>
      </c>
      <c r="O164" s="9">
        <f t="shared" si="29"/>
        <v>15.164974619289341</v>
      </c>
      <c r="P164" s="3">
        <f t="shared" si="39"/>
        <v>211</v>
      </c>
      <c r="Q164" s="3">
        <f t="shared" si="40"/>
        <v>1</v>
      </c>
      <c r="R164" s="3">
        <f t="shared" si="41"/>
        <v>89</v>
      </c>
      <c r="S164" s="9">
        <f t="shared" si="33"/>
        <v>0.49830795262267458</v>
      </c>
      <c r="T164" s="9">
        <f t="shared" si="34"/>
        <v>0.53689567430025442</v>
      </c>
      <c r="U164" s="9">
        <f t="shared" si="35"/>
        <v>10.341463414634147</v>
      </c>
      <c r="V164" s="4">
        <f t="shared" si="37"/>
        <v>0.79999999999999716</v>
      </c>
      <c r="W164" s="2">
        <f t="shared" si="38"/>
        <v>2.0000000000000018E-3</v>
      </c>
    </row>
    <row r="165" spans="1:23">
      <c r="A165">
        <v>540</v>
      </c>
      <c r="B165" s="4">
        <f t="shared" si="36"/>
        <v>435.05859375</v>
      </c>
      <c r="C165" s="4">
        <v>432</v>
      </c>
      <c r="D165" s="4">
        <v>41.7</v>
      </c>
      <c r="E165" s="4">
        <v>0.5</v>
      </c>
      <c r="F165" s="2">
        <v>0.995</v>
      </c>
      <c r="G165" s="3">
        <v>5760</v>
      </c>
      <c r="H165" s="3">
        <v>400</v>
      </c>
      <c r="I165" s="3">
        <v>2308</v>
      </c>
      <c r="J165" s="3">
        <v>4057</v>
      </c>
      <c r="K165" s="3">
        <v>5975</v>
      </c>
      <c r="L165" s="3">
        <v>402</v>
      </c>
      <c r="M165" s="3">
        <v>2401</v>
      </c>
      <c r="N165" s="9">
        <f t="shared" si="28"/>
        <v>14.4</v>
      </c>
      <c r="O165" s="9">
        <f t="shared" si="29"/>
        <v>14.863184079601989</v>
      </c>
      <c r="P165" s="3">
        <f t="shared" si="39"/>
        <v>215</v>
      </c>
      <c r="Q165" s="3">
        <f t="shared" si="40"/>
        <v>2</v>
      </c>
      <c r="R165" s="3">
        <f t="shared" si="41"/>
        <v>93</v>
      </c>
      <c r="S165" s="9">
        <f t="shared" si="33"/>
        <v>0.46318407960198904</v>
      </c>
      <c r="T165" s="9">
        <f t="shared" si="34"/>
        <v>0.53749999999999998</v>
      </c>
      <c r="U165" s="9">
        <f t="shared" si="35"/>
        <v>10.359712230215827</v>
      </c>
      <c r="V165" s="4">
        <f t="shared" si="37"/>
        <v>0.70000000000000284</v>
      </c>
      <c r="W165" s="2">
        <f t="shared" si="38"/>
        <v>3.0000000000000027E-3</v>
      </c>
    </row>
    <row r="166" spans="1:23">
      <c r="A166">
        <v>550</v>
      </c>
      <c r="B166" s="4">
        <f t="shared" si="36"/>
        <v>443.115234375</v>
      </c>
      <c r="C166" s="4">
        <v>440</v>
      </c>
      <c r="D166" s="4">
        <v>42.5</v>
      </c>
      <c r="E166" s="4">
        <v>0.5</v>
      </c>
      <c r="F166" s="2">
        <v>0.998</v>
      </c>
      <c r="G166" s="3">
        <v>5756</v>
      </c>
      <c r="H166" s="3">
        <v>407</v>
      </c>
      <c r="I166" s="3">
        <v>2348</v>
      </c>
      <c r="J166" s="3">
        <v>4203</v>
      </c>
      <c r="K166" s="3">
        <v>5975</v>
      </c>
      <c r="L166" s="3">
        <v>409</v>
      </c>
      <c r="M166" s="3">
        <v>2443</v>
      </c>
      <c r="N166" s="9">
        <f t="shared" si="28"/>
        <v>14.142506142506143</v>
      </c>
      <c r="O166" s="9">
        <f t="shared" si="29"/>
        <v>14.60880195599022</v>
      </c>
      <c r="P166" s="3">
        <f t="shared" si="39"/>
        <v>219</v>
      </c>
      <c r="Q166" s="3">
        <f t="shared" si="40"/>
        <v>2</v>
      </c>
      <c r="R166" s="3">
        <f t="shared" si="41"/>
        <v>95</v>
      </c>
      <c r="S166" s="9">
        <f t="shared" si="33"/>
        <v>0.46629581348407712</v>
      </c>
      <c r="T166" s="9">
        <f t="shared" si="34"/>
        <v>0.53808353808353804</v>
      </c>
      <c r="U166" s="9">
        <f t="shared" si="35"/>
        <v>10.352941176470589</v>
      </c>
      <c r="V166" s="4">
        <f t="shared" si="37"/>
        <v>0.79999999999999716</v>
      </c>
      <c r="W166" s="2">
        <f t="shared" si="38"/>
        <v>3.0000000000000027E-3</v>
      </c>
    </row>
    <row r="167" spans="1:23">
      <c r="A167">
        <v>560</v>
      </c>
      <c r="B167" s="4">
        <f t="shared" si="36"/>
        <v>451.171875</v>
      </c>
      <c r="C167" s="4">
        <v>448</v>
      </c>
      <c r="D167" s="4">
        <v>43.2</v>
      </c>
      <c r="E167" s="4">
        <v>0.5</v>
      </c>
      <c r="F167" s="2">
        <v>1</v>
      </c>
      <c r="G167" s="3">
        <v>5752</v>
      </c>
      <c r="H167" s="3">
        <v>414</v>
      </c>
      <c r="I167" s="3">
        <v>2386</v>
      </c>
      <c r="J167" s="3">
        <v>4285</v>
      </c>
      <c r="K167" s="3">
        <v>5975</v>
      </c>
      <c r="L167" s="3">
        <v>416</v>
      </c>
      <c r="M167" s="3">
        <v>2485</v>
      </c>
      <c r="N167" s="9">
        <f t="shared" si="28"/>
        <v>13.893719806763285</v>
      </c>
      <c r="O167" s="9">
        <f t="shared" si="29"/>
        <v>14.36298076923077</v>
      </c>
      <c r="P167" s="3">
        <f t="shared" si="39"/>
        <v>223</v>
      </c>
      <c r="Q167" s="3">
        <f t="shared" si="40"/>
        <v>2</v>
      </c>
      <c r="R167" s="3">
        <f t="shared" si="41"/>
        <v>99</v>
      </c>
      <c r="S167" s="9">
        <f t="shared" si="33"/>
        <v>0.4692609624674855</v>
      </c>
      <c r="T167" s="9">
        <f t="shared" si="34"/>
        <v>0.53864734299516903</v>
      </c>
      <c r="U167" s="9">
        <f t="shared" si="35"/>
        <v>10.37037037037037</v>
      </c>
      <c r="V167" s="4">
        <f t="shared" si="37"/>
        <v>0.70000000000000284</v>
      </c>
      <c r="W167" s="2">
        <f t="shared" si="38"/>
        <v>2.0000000000000018E-3</v>
      </c>
    </row>
    <row r="168" spans="1:23">
      <c r="A168">
        <v>570</v>
      </c>
      <c r="B168" s="4">
        <f t="shared" si="36"/>
        <v>459.228515625</v>
      </c>
      <c r="C168" s="4">
        <v>456</v>
      </c>
      <c r="D168" s="4">
        <v>44</v>
      </c>
      <c r="E168" s="4">
        <v>0.5</v>
      </c>
      <c r="F168" s="2">
        <v>1.0029999999999999</v>
      </c>
      <c r="G168" s="3">
        <v>5748</v>
      </c>
      <c r="H168" s="3">
        <v>422</v>
      </c>
      <c r="I168" s="3">
        <v>2430</v>
      </c>
      <c r="J168" s="3">
        <v>4349</v>
      </c>
      <c r="K168" s="3">
        <v>5975</v>
      </c>
      <c r="L168" s="3">
        <v>423</v>
      </c>
      <c r="M168" s="3">
        <v>2527</v>
      </c>
      <c r="N168" s="9">
        <f t="shared" si="28"/>
        <v>13.62085308056872</v>
      </c>
      <c r="O168" s="9">
        <f t="shared" si="29"/>
        <v>14.125295508274231</v>
      </c>
      <c r="P168" s="3">
        <f t="shared" si="39"/>
        <v>227</v>
      </c>
      <c r="Q168" s="3">
        <f t="shared" si="40"/>
        <v>1</v>
      </c>
      <c r="R168" s="3">
        <f t="shared" si="41"/>
        <v>97</v>
      </c>
      <c r="S168" s="9">
        <f t="shared" si="33"/>
        <v>0.50444242770551107</v>
      </c>
      <c r="T168" s="9">
        <f t="shared" si="34"/>
        <v>0.53791469194312791</v>
      </c>
      <c r="U168" s="9">
        <f t="shared" si="35"/>
        <v>10.363636363636363</v>
      </c>
      <c r="V168" s="4">
        <f t="shared" si="37"/>
        <v>0.79999999999999716</v>
      </c>
      <c r="W168" s="2">
        <f t="shared" si="38"/>
        <v>2.9999999999998916E-3</v>
      </c>
    </row>
    <row r="169" spans="1:23">
      <c r="A169">
        <v>580</v>
      </c>
      <c r="B169" s="4">
        <f t="shared" si="36"/>
        <v>467.28515625</v>
      </c>
      <c r="C169" s="4">
        <v>464</v>
      </c>
      <c r="D169" s="4">
        <v>44.7</v>
      </c>
      <c r="E169" s="4">
        <v>0.5</v>
      </c>
      <c r="F169" s="2">
        <v>1.006</v>
      </c>
      <c r="G169" s="3">
        <v>5744</v>
      </c>
      <c r="H169" s="3">
        <v>429</v>
      </c>
      <c r="I169" s="3">
        <v>2468</v>
      </c>
      <c r="J169" s="3">
        <v>4361</v>
      </c>
      <c r="K169" s="3">
        <v>5975</v>
      </c>
      <c r="L169" s="3">
        <v>430</v>
      </c>
      <c r="M169" s="3">
        <v>2569</v>
      </c>
      <c r="N169" s="9">
        <f t="shared" si="28"/>
        <v>13.389277389277389</v>
      </c>
      <c r="O169" s="9">
        <f t="shared" si="29"/>
        <v>13.895348837209303</v>
      </c>
      <c r="P169" s="3">
        <f t="shared" si="39"/>
        <v>231</v>
      </c>
      <c r="Q169" s="3">
        <f t="shared" si="40"/>
        <v>1</v>
      </c>
      <c r="R169" s="3">
        <f t="shared" si="41"/>
        <v>101</v>
      </c>
      <c r="S169" s="9">
        <f t="shared" si="33"/>
        <v>0.50607144793191416</v>
      </c>
      <c r="T169" s="9">
        <f t="shared" si="34"/>
        <v>0.53846153846153844</v>
      </c>
      <c r="U169" s="9">
        <f t="shared" si="35"/>
        <v>10.380313199105144</v>
      </c>
      <c r="V169" s="4">
        <f t="shared" si="37"/>
        <v>0.70000000000000284</v>
      </c>
      <c r="W169" s="2">
        <f t="shared" si="38"/>
        <v>3.0000000000001137E-3</v>
      </c>
    </row>
    <row r="170" spans="1:23">
      <c r="A170">
        <v>581</v>
      </c>
      <c r="B170" s="4">
        <f t="shared" si="36"/>
        <v>468.0908203125</v>
      </c>
      <c r="C170" s="4">
        <v>465</v>
      </c>
      <c r="D170" s="4">
        <v>44.8</v>
      </c>
      <c r="E170" s="4">
        <v>0.5</v>
      </c>
      <c r="F170" s="2">
        <v>1.006</v>
      </c>
      <c r="G170" s="3">
        <v>5740</v>
      </c>
      <c r="H170" s="3">
        <v>430</v>
      </c>
      <c r="I170" s="3">
        <v>2471</v>
      </c>
      <c r="J170" s="3">
        <v>4434</v>
      </c>
      <c r="K170" s="3">
        <v>5975</v>
      </c>
      <c r="L170" s="3">
        <v>431</v>
      </c>
      <c r="M170" s="3">
        <v>2574</v>
      </c>
      <c r="N170" s="9">
        <f t="shared" si="28"/>
        <v>13.348837209302326</v>
      </c>
      <c r="O170" s="9">
        <f t="shared" si="29"/>
        <v>13.863109048723897</v>
      </c>
      <c r="P170" s="3">
        <f t="shared" ref="P170:P189" si="42">(K170-G170)</f>
        <v>235</v>
      </c>
      <c r="Q170" s="3">
        <f t="shared" ref="Q170:Q189" si="43">(L170-H170)</f>
        <v>1</v>
      </c>
      <c r="R170" s="3">
        <f t="shared" ref="R170:R189" si="44">(M170-I170)</f>
        <v>103</v>
      </c>
      <c r="S170" s="9">
        <f t="shared" si="33"/>
        <v>0.51427183942157129</v>
      </c>
      <c r="T170" s="9">
        <f t="shared" si="34"/>
        <v>0.54651162790697672</v>
      </c>
      <c r="U170" s="9">
        <f t="shared" si="35"/>
        <v>10.379464285714286</v>
      </c>
      <c r="V170" s="4">
        <f t="shared" si="37"/>
        <v>9.9999999999994316E-2</v>
      </c>
      <c r="W170" s="2">
        <f t="shared" si="38"/>
        <v>0</v>
      </c>
    </row>
    <row r="171" spans="1:23">
      <c r="A171">
        <v>582</v>
      </c>
      <c r="B171" s="4">
        <f t="shared" si="36"/>
        <v>468.896484375</v>
      </c>
      <c r="C171" s="4">
        <v>465</v>
      </c>
      <c r="D171" s="4">
        <v>44.9</v>
      </c>
      <c r="E171" s="4">
        <v>0.5</v>
      </c>
      <c r="F171" s="2">
        <v>1.006</v>
      </c>
      <c r="G171" s="3">
        <v>5744</v>
      </c>
      <c r="H171" s="3">
        <v>431</v>
      </c>
      <c r="I171" s="3">
        <v>2478</v>
      </c>
      <c r="J171" s="3">
        <v>4438</v>
      </c>
      <c r="K171" s="3">
        <v>5975</v>
      </c>
      <c r="L171" s="3">
        <v>432</v>
      </c>
      <c r="M171" s="3">
        <v>2580</v>
      </c>
      <c r="N171" s="9">
        <f t="shared" si="28"/>
        <v>13.327146171693736</v>
      </c>
      <c r="O171" s="9">
        <f t="shared" si="29"/>
        <v>13.831018518518519</v>
      </c>
      <c r="P171" s="3">
        <f t="shared" si="42"/>
        <v>231</v>
      </c>
      <c r="Q171" s="3">
        <f t="shared" si="43"/>
        <v>1</v>
      </c>
      <c r="R171" s="3">
        <f t="shared" si="44"/>
        <v>102</v>
      </c>
      <c r="S171" s="9">
        <f t="shared" si="33"/>
        <v>0.50387234682478343</v>
      </c>
      <c r="T171" s="9">
        <f t="shared" si="34"/>
        <v>0.53596287703016243</v>
      </c>
      <c r="U171" s="9">
        <f t="shared" si="35"/>
        <v>10.356347438752785</v>
      </c>
      <c r="V171" s="4">
        <f t="shared" si="37"/>
        <v>0.10000000000000142</v>
      </c>
      <c r="W171" s="2">
        <f t="shared" si="38"/>
        <v>0</v>
      </c>
    </row>
    <row r="172" spans="1:23">
      <c r="A172">
        <v>583</v>
      </c>
      <c r="B172" s="4">
        <f t="shared" si="36"/>
        <v>469.7021484375</v>
      </c>
      <c r="C172" s="4">
        <v>466</v>
      </c>
      <c r="D172" s="4">
        <v>45</v>
      </c>
      <c r="E172" s="4">
        <v>0.5</v>
      </c>
      <c r="F172" s="2">
        <v>1.006</v>
      </c>
      <c r="G172" s="3">
        <v>5744</v>
      </c>
      <c r="H172" s="3">
        <v>431</v>
      </c>
      <c r="I172" s="3">
        <v>2478</v>
      </c>
      <c r="J172" s="3">
        <v>4447</v>
      </c>
      <c r="K172" s="3">
        <v>5975</v>
      </c>
      <c r="L172" s="3">
        <v>432</v>
      </c>
      <c r="M172" s="3">
        <v>2580</v>
      </c>
      <c r="N172" s="9">
        <f t="shared" si="28"/>
        <v>13.327146171693736</v>
      </c>
      <c r="O172" s="9">
        <f t="shared" si="29"/>
        <v>13.831018518518519</v>
      </c>
      <c r="P172" s="3">
        <f t="shared" si="42"/>
        <v>231</v>
      </c>
      <c r="Q172" s="3">
        <f t="shared" si="43"/>
        <v>1</v>
      </c>
      <c r="R172" s="3">
        <f t="shared" si="44"/>
        <v>102</v>
      </c>
      <c r="S172" s="9">
        <f t="shared" si="33"/>
        <v>0.50387234682478343</v>
      </c>
      <c r="T172" s="9">
        <f t="shared" si="34"/>
        <v>0.53596287703016243</v>
      </c>
      <c r="U172" s="9">
        <f t="shared" si="35"/>
        <v>10.355555555555556</v>
      </c>
      <c r="V172" s="4">
        <f t="shared" si="37"/>
        <v>0.10000000000000142</v>
      </c>
      <c r="W172" s="2">
        <f t="shared" si="38"/>
        <v>0</v>
      </c>
    </row>
    <row r="173" spans="1:23">
      <c r="A173">
        <v>584</v>
      </c>
      <c r="B173" s="4">
        <f t="shared" si="36"/>
        <v>470.5078125</v>
      </c>
      <c r="C173" s="4">
        <v>467</v>
      </c>
      <c r="D173" s="4">
        <v>45</v>
      </c>
      <c r="E173" s="4">
        <v>0.5</v>
      </c>
      <c r="F173">
        <v>1.0069999999999999</v>
      </c>
      <c r="G173" s="3">
        <v>5740</v>
      </c>
      <c r="H173" s="3">
        <v>432</v>
      </c>
      <c r="I173" s="3">
        <v>2484</v>
      </c>
      <c r="J173" s="3">
        <v>4465</v>
      </c>
      <c r="K173" s="3">
        <v>5975</v>
      </c>
      <c r="L173" s="3">
        <v>433</v>
      </c>
      <c r="M173" s="3">
        <v>2586</v>
      </c>
      <c r="N173" s="9">
        <f t="shared" si="28"/>
        <v>13.287037037037036</v>
      </c>
      <c r="O173" s="9">
        <f t="shared" si="29"/>
        <v>13.799076212471132</v>
      </c>
      <c r="P173" s="3">
        <f t="shared" si="42"/>
        <v>235</v>
      </c>
      <c r="Q173" s="3">
        <f t="shared" si="43"/>
        <v>1</v>
      </c>
      <c r="R173" s="3">
        <f t="shared" si="44"/>
        <v>102</v>
      </c>
      <c r="S173" s="9">
        <f t="shared" si="33"/>
        <v>0.51203917543409538</v>
      </c>
      <c r="T173" s="9">
        <f t="shared" si="34"/>
        <v>0.54398148148148151</v>
      </c>
      <c r="U173" s="9">
        <f t="shared" si="35"/>
        <v>10.377777777777778</v>
      </c>
      <c r="V173" s="4">
        <f t="shared" si="37"/>
        <v>0</v>
      </c>
      <c r="W173" s="2">
        <f t="shared" si="38"/>
        <v>9.9999999999988987E-4</v>
      </c>
    </row>
    <row r="174" spans="1:23">
      <c r="A174">
        <v>585</v>
      </c>
      <c r="B174" s="4">
        <f t="shared" si="36"/>
        <v>471.3134765625</v>
      </c>
      <c r="C174" s="4">
        <v>468</v>
      </c>
      <c r="D174" s="4">
        <v>45.1</v>
      </c>
      <c r="E174" s="4">
        <v>0.5</v>
      </c>
      <c r="F174" s="2">
        <v>1.0069999999999999</v>
      </c>
      <c r="G174" s="3">
        <v>5740</v>
      </c>
      <c r="H174" s="3">
        <v>432</v>
      </c>
      <c r="I174" s="3">
        <v>2484</v>
      </c>
      <c r="J174" s="3">
        <v>4463</v>
      </c>
      <c r="K174" s="3">
        <v>5975</v>
      </c>
      <c r="L174" s="3">
        <v>434</v>
      </c>
      <c r="M174" s="3">
        <v>2592</v>
      </c>
      <c r="N174" s="9">
        <f t="shared" si="28"/>
        <v>13.287037037037036</v>
      </c>
      <c r="O174" s="9">
        <f t="shared" si="29"/>
        <v>13.767281105990783</v>
      </c>
      <c r="P174" s="3">
        <f t="shared" si="42"/>
        <v>235</v>
      </c>
      <c r="Q174" s="3">
        <f t="shared" si="43"/>
        <v>2</v>
      </c>
      <c r="R174" s="3">
        <f t="shared" si="44"/>
        <v>108</v>
      </c>
      <c r="S174" s="9">
        <f t="shared" si="33"/>
        <v>0.48024406895374661</v>
      </c>
      <c r="T174" s="9">
        <f t="shared" si="34"/>
        <v>0.54398148148148151</v>
      </c>
      <c r="U174" s="9">
        <f t="shared" si="35"/>
        <v>10.376940133037694</v>
      </c>
      <c r="V174" s="4">
        <f t="shared" si="37"/>
        <v>0.10000000000000142</v>
      </c>
      <c r="W174" s="2">
        <f t="shared" si="38"/>
        <v>0</v>
      </c>
    </row>
    <row r="175" spans="1:23">
      <c r="A175">
        <v>586</v>
      </c>
      <c r="B175" s="4">
        <f t="shared" si="36"/>
        <v>472.119140625</v>
      </c>
      <c r="C175" s="4">
        <v>469</v>
      </c>
      <c r="D175" s="4">
        <v>45.2</v>
      </c>
      <c r="E175" s="4">
        <v>0.5</v>
      </c>
      <c r="F175" s="2">
        <v>1.008</v>
      </c>
      <c r="G175" s="3">
        <v>5740</v>
      </c>
      <c r="H175" s="3">
        <v>434</v>
      </c>
      <c r="I175" s="3">
        <v>2491</v>
      </c>
      <c r="J175" s="3">
        <v>4481</v>
      </c>
      <c r="K175" s="3">
        <v>5975</v>
      </c>
      <c r="L175" s="3">
        <v>435</v>
      </c>
      <c r="M175" s="3">
        <v>2598</v>
      </c>
      <c r="N175" s="9">
        <f t="shared" si="28"/>
        <v>13.225806451612904</v>
      </c>
      <c r="O175" s="9">
        <f t="shared" si="29"/>
        <v>13.735632183908047</v>
      </c>
      <c r="P175" s="3">
        <f t="shared" si="42"/>
        <v>235</v>
      </c>
      <c r="Q175" s="3">
        <f t="shared" si="43"/>
        <v>1</v>
      </c>
      <c r="R175" s="3">
        <f t="shared" si="44"/>
        <v>107</v>
      </c>
      <c r="S175" s="9">
        <f t="shared" si="33"/>
        <v>0.50982573229514294</v>
      </c>
      <c r="T175" s="9">
        <f t="shared" si="34"/>
        <v>0.54147465437788023</v>
      </c>
      <c r="U175" s="9">
        <f t="shared" si="35"/>
        <v>10.376106194690264</v>
      </c>
      <c r="V175" s="4">
        <f t="shared" si="37"/>
        <v>0.10000000000000142</v>
      </c>
      <c r="W175" s="2">
        <f t="shared" si="38"/>
        <v>1.0000000000001119E-3</v>
      </c>
    </row>
    <row r="176" spans="1:23">
      <c r="A176">
        <v>587</v>
      </c>
      <c r="B176" s="4">
        <f t="shared" si="36"/>
        <v>472.9248046875</v>
      </c>
      <c r="C176" s="4">
        <v>469</v>
      </c>
      <c r="D176" s="4">
        <v>45.2</v>
      </c>
      <c r="E176" s="4">
        <v>0.5</v>
      </c>
      <c r="F176" s="2">
        <v>1.008</v>
      </c>
      <c r="G176" s="3">
        <v>5740</v>
      </c>
      <c r="H176" s="3">
        <v>434</v>
      </c>
      <c r="I176" s="3">
        <v>2496</v>
      </c>
      <c r="J176" s="3">
        <v>4480</v>
      </c>
      <c r="K176" s="3">
        <v>5975</v>
      </c>
      <c r="L176" s="3">
        <v>435</v>
      </c>
      <c r="M176" s="3">
        <v>2598</v>
      </c>
      <c r="N176" s="9">
        <f t="shared" si="28"/>
        <v>13.225806451612904</v>
      </c>
      <c r="O176" s="9">
        <f t="shared" si="29"/>
        <v>13.735632183908047</v>
      </c>
      <c r="P176" s="3">
        <f t="shared" si="42"/>
        <v>235</v>
      </c>
      <c r="Q176" s="3">
        <f t="shared" si="43"/>
        <v>1</v>
      </c>
      <c r="R176" s="3">
        <f t="shared" si="44"/>
        <v>102</v>
      </c>
      <c r="S176" s="9">
        <f t="shared" si="33"/>
        <v>0.50982573229514294</v>
      </c>
      <c r="T176" s="9">
        <f t="shared" si="34"/>
        <v>0.54147465437788023</v>
      </c>
      <c r="U176" s="9">
        <f t="shared" si="35"/>
        <v>10.376106194690264</v>
      </c>
      <c r="V176" s="4">
        <f t="shared" si="37"/>
        <v>0</v>
      </c>
      <c r="W176" s="2">
        <f t="shared" si="38"/>
        <v>0</v>
      </c>
    </row>
    <row r="177" spans="1:23">
      <c r="A177">
        <v>588</v>
      </c>
      <c r="B177" s="4">
        <f t="shared" si="36"/>
        <v>473.73046875</v>
      </c>
      <c r="C177" s="4">
        <v>470</v>
      </c>
      <c r="D177" s="4">
        <v>45.3</v>
      </c>
      <c r="E177" s="4">
        <v>0.5</v>
      </c>
      <c r="F177" s="2">
        <v>1.0089999999999999</v>
      </c>
      <c r="G177" s="3">
        <v>5740</v>
      </c>
      <c r="H177" s="3">
        <v>434</v>
      </c>
      <c r="I177" s="3">
        <v>2497</v>
      </c>
      <c r="J177" s="3">
        <v>4488</v>
      </c>
      <c r="K177" s="3">
        <v>5975</v>
      </c>
      <c r="L177" s="3">
        <v>436</v>
      </c>
      <c r="M177" s="3">
        <v>2604</v>
      </c>
      <c r="N177" s="9">
        <f t="shared" si="28"/>
        <v>13.225806451612904</v>
      </c>
      <c r="O177" s="9">
        <f t="shared" si="29"/>
        <v>13.704128440366972</v>
      </c>
      <c r="P177" s="3">
        <f t="shared" si="42"/>
        <v>235</v>
      </c>
      <c r="Q177" s="3">
        <f t="shared" si="43"/>
        <v>2</v>
      </c>
      <c r="R177" s="3">
        <f t="shared" si="44"/>
        <v>107</v>
      </c>
      <c r="S177" s="9">
        <f t="shared" si="33"/>
        <v>0.47832198875406817</v>
      </c>
      <c r="T177" s="9">
        <f t="shared" si="34"/>
        <v>0.54147465437788023</v>
      </c>
      <c r="U177" s="9">
        <f t="shared" si="35"/>
        <v>10.375275938189846</v>
      </c>
      <c r="V177" s="4">
        <f t="shared" si="37"/>
        <v>9.9999999999994316E-2</v>
      </c>
      <c r="W177" s="2">
        <f t="shared" si="38"/>
        <v>9.9999999999988987E-4</v>
      </c>
    </row>
    <row r="178" spans="1:23">
      <c r="A178">
        <v>589</v>
      </c>
      <c r="B178" s="4">
        <f t="shared" si="36"/>
        <v>474.5361328125</v>
      </c>
      <c r="C178" s="4">
        <v>471</v>
      </c>
      <c r="D178" s="4">
        <v>45.4</v>
      </c>
      <c r="E178" s="4">
        <v>0.5</v>
      </c>
      <c r="F178">
        <v>1.01</v>
      </c>
      <c r="G178" s="3">
        <v>5740</v>
      </c>
      <c r="H178" s="3">
        <v>435</v>
      </c>
      <c r="I178" s="3">
        <v>2505</v>
      </c>
      <c r="J178" s="3">
        <v>4498</v>
      </c>
      <c r="K178" s="3">
        <v>5975</v>
      </c>
      <c r="L178" s="3">
        <v>437</v>
      </c>
      <c r="M178" s="3">
        <v>2610</v>
      </c>
      <c r="N178" s="9">
        <f t="shared" si="28"/>
        <v>13.195402298850574</v>
      </c>
      <c r="O178" s="9">
        <f t="shared" si="29"/>
        <v>13.672768878718536</v>
      </c>
      <c r="P178" s="3">
        <f t="shared" si="42"/>
        <v>235</v>
      </c>
      <c r="Q178" s="3">
        <f t="shared" si="43"/>
        <v>2</v>
      </c>
      <c r="R178" s="3">
        <f t="shared" si="44"/>
        <v>105</v>
      </c>
      <c r="S178" s="9">
        <f t="shared" si="33"/>
        <v>0.4773665798679616</v>
      </c>
      <c r="T178" s="9">
        <f t="shared" si="34"/>
        <v>0.54022988505747127</v>
      </c>
      <c r="U178" s="9">
        <f t="shared" si="35"/>
        <v>10.374449339207048</v>
      </c>
      <c r="V178" s="4">
        <f t="shared" si="37"/>
        <v>0.10000000000000142</v>
      </c>
      <c r="W178" s="2">
        <f t="shared" si="38"/>
        <v>1.0000000000001119E-3</v>
      </c>
    </row>
    <row r="179" spans="1:23">
      <c r="A179">
        <v>590</v>
      </c>
      <c r="B179" s="4">
        <f t="shared" si="36"/>
        <v>475.341796875</v>
      </c>
      <c r="C179" s="4">
        <v>472</v>
      </c>
      <c r="D179" s="4">
        <v>45.5</v>
      </c>
      <c r="E179" s="4">
        <v>0.5</v>
      </c>
      <c r="F179" s="2">
        <v>1.0109999999999999</v>
      </c>
      <c r="G179" s="3">
        <v>5736</v>
      </c>
      <c r="H179" s="3">
        <v>436</v>
      </c>
      <c r="I179" s="3">
        <v>2506</v>
      </c>
      <c r="J179" s="3">
        <v>4505</v>
      </c>
      <c r="K179" s="3">
        <v>5975</v>
      </c>
      <c r="L179" s="3">
        <v>437</v>
      </c>
      <c r="M179" s="3">
        <v>2610</v>
      </c>
      <c r="N179" s="9">
        <f t="shared" si="28"/>
        <v>13.155963302752294</v>
      </c>
      <c r="O179" s="9">
        <f t="shared" si="29"/>
        <v>13.672768878718536</v>
      </c>
      <c r="P179" s="3">
        <f t="shared" si="42"/>
        <v>239</v>
      </c>
      <c r="Q179" s="3">
        <f t="shared" si="43"/>
        <v>1</v>
      </c>
      <c r="R179" s="3">
        <f t="shared" si="44"/>
        <v>104</v>
      </c>
      <c r="S179" s="9">
        <f t="shared" si="33"/>
        <v>0.51680557596624155</v>
      </c>
      <c r="T179" s="9">
        <f t="shared" si="34"/>
        <v>0.54816513761467889</v>
      </c>
      <c r="U179" s="9">
        <f t="shared" si="35"/>
        <v>10.373626373626374</v>
      </c>
      <c r="V179" s="4">
        <f t="shared" si="37"/>
        <v>0.10000000000000142</v>
      </c>
      <c r="W179" s="2">
        <f t="shared" si="38"/>
        <v>9.9999999999988987E-4</v>
      </c>
    </row>
    <row r="180" spans="1:23">
      <c r="A180">
        <v>590</v>
      </c>
      <c r="B180" s="4">
        <f t="shared" si="36"/>
        <v>475.341796875</v>
      </c>
      <c r="C180" s="4">
        <v>473</v>
      </c>
      <c r="D180" s="4">
        <v>45.5</v>
      </c>
      <c r="E180" s="4">
        <v>0.5</v>
      </c>
      <c r="F180" s="2">
        <v>1.012</v>
      </c>
      <c r="G180" s="3">
        <v>5740</v>
      </c>
      <c r="H180" s="3">
        <v>437</v>
      </c>
      <c r="I180" s="3">
        <v>2509</v>
      </c>
      <c r="J180" s="3">
        <v>4507</v>
      </c>
      <c r="K180" s="3">
        <v>5975</v>
      </c>
      <c r="L180" s="3">
        <v>438</v>
      </c>
      <c r="M180" s="3">
        <v>2616</v>
      </c>
      <c r="N180" s="9">
        <f t="shared" si="28"/>
        <v>13.135011441647597</v>
      </c>
      <c r="O180" s="9">
        <f t="shared" si="29"/>
        <v>13.641552511415526</v>
      </c>
      <c r="P180" s="3">
        <f t="shared" si="42"/>
        <v>235</v>
      </c>
      <c r="Q180" s="3">
        <f t="shared" si="43"/>
        <v>1</v>
      </c>
      <c r="R180" s="3">
        <f t="shared" si="44"/>
        <v>107</v>
      </c>
      <c r="S180" s="9">
        <f t="shared" si="33"/>
        <v>0.50654106976792868</v>
      </c>
      <c r="T180" s="9">
        <f t="shared" si="34"/>
        <v>0.53775743707093826</v>
      </c>
      <c r="U180" s="9">
        <f t="shared" si="35"/>
        <v>10.395604395604396</v>
      </c>
      <c r="V180" s="4">
        <f t="shared" si="37"/>
        <v>0</v>
      </c>
      <c r="W180" s="2">
        <f t="shared" si="38"/>
        <v>1.0000000000001119E-3</v>
      </c>
    </row>
    <row r="181" spans="1:23">
      <c r="A181">
        <v>591</v>
      </c>
      <c r="B181" s="4">
        <f t="shared" si="36"/>
        <v>476.1474609375</v>
      </c>
      <c r="C181" s="4">
        <v>473</v>
      </c>
      <c r="D181" s="4">
        <v>45.5</v>
      </c>
      <c r="E181" s="4">
        <v>0.5</v>
      </c>
      <c r="F181" s="2">
        <v>1.012</v>
      </c>
      <c r="G181" s="3">
        <v>5740</v>
      </c>
      <c r="H181" s="3">
        <v>437</v>
      </c>
      <c r="I181" s="3">
        <v>2509</v>
      </c>
      <c r="J181" s="3">
        <v>4507</v>
      </c>
      <c r="K181" s="3">
        <v>5975</v>
      </c>
      <c r="L181" s="3">
        <v>438</v>
      </c>
      <c r="M181" s="3">
        <v>2616</v>
      </c>
      <c r="N181" s="9">
        <f t="shared" si="28"/>
        <v>13.135011441647597</v>
      </c>
      <c r="O181" s="9">
        <f t="shared" si="29"/>
        <v>13.641552511415526</v>
      </c>
      <c r="P181" s="3">
        <f t="shared" si="42"/>
        <v>235</v>
      </c>
      <c r="Q181" s="3">
        <f t="shared" si="43"/>
        <v>1</v>
      </c>
      <c r="R181" s="3">
        <f t="shared" si="44"/>
        <v>107</v>
      </c>
      <c r="S181" s="9">
        <f t="shared" si="33"/>
        <v>0.50654106976792868</v>
      </c>
      <c r="T181" s="9">
        <f t="shared" si="34"/>
        <v>0.53775743707093826</v>
      </c>
      <c r="U181" s="9">
        <f t="shared" si="35"/>
        <v>10.395604395604396</v>
      </c>
      <c r="V181" s="4">
        <f t="shared" si="37"/>
        <v>0</v>
      </c>
      <c r="W181" s="2">
        <f t="shared" si="38"/>
        <v>0</v>
      </c>
    </row>
    <row r="182" spans="1:23">
      <c r="A182">
        <v>592</v>
      </c>
      <c r="B182" s="4">
        <f t="shared" si="36"/>
        <v>476.953125</v>
      </c>
      <c r="C182" s="4">
        <v>473</v>
      </c>
      <c r="D182" s="4">
        <v>45.6</v>
      </c>
      <c r="E182" s="4">
        <v>0.5</v>
      </c>
      <c r="F182">
        <v>1.0129999999999999</v>
      </c>
      <c r="G182" s="3">
        <v>5736</v>
      </c>
      <c r="H182" s="3">
        <v>438</v>
      </c>
      <c r="I182" s="3">
        <v>2514</v>
      </c>
      <c r="J182" s="3">
        <v>4514</v>
      </c>
      <c r="K182" s="3">
        <v>5975</v>
      </c>
      <c r="L182" s="3">
        <v>439</v>
      </c>
      <c r="M182" s="3">
        <v>2622</v>
      </c>
      <c r="N182" s="9">
        <f t="shared" si="28"/>
        <v>13.095890410958905</v>
      </c>
      <c r="O182" s="9">
        <f t="shared" si="29"/>
        <v>13.610478359908884</v>
      </c>
      <c r="P182" s="3">
        <f t="shared" si="42"/>
        <v>239</v>
      </c>
      <c r="Q182" s="3">
        <f t="shared" si="43"/>
        <v>1</v>
      </c>
      <c r="R182" s="3">
        <f t="shared" si="44"/>
        <v>108</v>
      </c>
      <c r="S182" s="9">
        <f t="shared" si="33"/>
        <v>0.51458794894997872</v>
      </c>
      <c r="T182" s="9">
        <f t="shared" si="34"/>
        <v>0.545662100456621</v>
      </c>
      <c r="U182" s="9">
        <f t="shared" si="35"/>
        <v>10.37280701754386</v>
      </c>
      <c r="V182" s="4">
        <f t="shared" si="37"/>
        <v>0.10000000000000142</v>
      </c>
      <c r="W182" s="2">
        <f t="shared" si="38"/>
        <v>9.9999999999988987E-4</v>
      </c>
    </row>
    <row r="183" spans="1:23">
      <c r="A183">
        <v>593</v>
      </c>
      <c r="B183" s="4">
        <f t="shared" si="36"/>
        <v>477.7587890625</v>
      </c>
      <c r="C183" s="4">
        <v>474</v>
      </c>
      <c r="D183" s="4">
        <v>45.7</v>
      </c>
      <c r="E183" s="4">
        <v>0.5</v>
      </c>
      <c r="F183" s="2">
        <v>1.014</v>
      </c>
      <c r="G183" s="3">
        <v>5736</v>
      </c>
      <c r="H183" s="3">
        <v>438</v>
      </c>
      <c r="I183" s="3">
        <v>2515</v>
      </c>
      <c r="J183" s="3">
        <v>4522</v>
      </c>
      <c r="K183" s="3">
        <v>5975</v>
      </c>
      <c r="L183" s="3">
        <v>439</v>
      </c>
      <c r="M183" s="3">
        <v>2622</v>
      </c>
      <c r="N183" s="9">
        <f t="shared" si="28"/>
        <v>13.095890410958905</v>
      </c>
      <c r="O183" s="9">
        <f t="shared" si="29"/>
        <v>13.610478359908884</v>
      </c>
      <c r="P183" s="3">
        <f t="shared" si="42"/>
        <v>239</v>
      </c>
      <c r="Q183" s="3">
        <f t="shared" si="43"/>
        <v>1</v>
      </c>
      <c r="R183" s="3">
        <f t="shared" si="44"/>
        <v>107</v>
      </c>
      <c r="S183" s="9">
        <f t="shared" si="33"/>
        <v>0.51458794894997872</v>
      </c>
      <c r="T183" s="9">
        <f t="shared" si="34"/>
        <v>0.545662100456621</v>
      </c>
      <c r="U183" s="9">
        <f t="shared" si="35"/>
        <v>10.37199124726477</v>
      </c>
      <c r="V183" s="4">
        <f t="shared" si="37"/>
        <v>0.10000000000000142</v>
      </c>
      <c r="W183" s="2">
        <f t="shared" si="38"/>
        <v>1.0000000000001119E-3</v>
      </c>
    </row>
    <row r="184" spans="1:23">
      <c r="A184">
        <v>594</v>
      </c>
      <c r="B184" s="4">
        <f t="shared" si="36"/>
        <v>478.564453125</v>
      </c>
      <c r="C184" s="4">
        <v>475</v>
      </c>
      <c r="D184" s="4">
        <v>45.7</v>
      </c>
      <c r="E184" s="4">
        <v>0.5</v>
      </c>
      <c r="F184" s="2">
        <v>1.0149999999999999</v>
      </c>
      <c r="G184" s="3">
        <v>5736</v>
      </c>
      <c r="H184" s="3">
        <v>438</v>
      </c>
      <c r="I184" s="3">
        <v>2519</v>
      </c>
      <c r="J184" s="3">
        <v>4531</v>
      </c>
      <c r="K184" s="3">
        <v>5975</v>
      </c>
      <c r="L184" s="3">
        <v>440</v>
      </c>
      <c r="M184" s="3">
        <v>2628</v>
      </c>
      <c r="N184" s="9">
        <f t="shared" si="28"/>
        <v>13.095890410958905</v>
      </c>
      <c r="O184" s="9">
        <f t="shared" si="29"/>
        <v>13.579545454545455</v>
      </c>
      <c r="P184" s="3">
        <f t="shared" si="42"/>
        <v>239</v>
      </c>
      <c r="Q184" s="3">
        <f t="shared" si="43"/>
        <v>2</v>
      </c>
      <c r="R184" s="3">
        <f t="shared" si="44"/>
        <v>109</v>
      </c>
      <c r="S184" s="9">
        <f t="shared" si="33"/>
        <v>0.48365504358655009</v>
      </c>
      <c r="T184" s="9">
        <f t="shared" si="34"/>
        <v>0.545662100456621</v>
      </c>
      <c r="U184" s="9">
        <f t="shared" si="35"/>
        <v>10.393873085339168</v>
      </c>
      <c r="V184" s="4">
        <f t="shared" si="37"/>
        <v>0</v>
      </c>
      <c r="W184" s="2">
        <f t="shared" si="38"/>
        <v>9.9999999999988987E-4</v>
      </c>
    </row>
    <row r="185" spans="1:23">
      <c r="A185">
        <v>595</v>
      </c>
      <c r="B185" s="4">
        <f t="shared" si="36"/>
        <v>479.3701171875</v>
      </c>
      <c r="C185" s="4">
        <v>476</v>
      </c>
      <c r="D185" s="4">
        <v>45.8</v>
      </c>
      <c r="E185" s="4">
        <v>0.5</v>
      </c>
      <c r="F185" s="2">
        <v>1.016</v>
      </c>
      <c r="G185" s="3">
        <v>5736</v>
      </c>
      <c r="H185" s="3">
        <v>439</v>
      </c>
      <c r="I185" s="3">
        <v>2515</v>
      </c>
      <c r="J185" s="3">
        <v>4543</v>
      </c>
      <c r="K185" s="3">
        <v>5975</v>
      </c>
      <c r="L185" s="3">
        <v>441</v>
      </c>
      <c r="M185" s="3">
        <v>2634</v>
      </c>
      <c r="N185" s="9">
        <f t="shared" si="28"/>
        <v>13.066059225512529</v>
      </c>
      <c r="O185" s="9">
        <f t="shared" si="29"/>
        <v>13.54875283446712</v>
      </c>
      <c r="P185" s="3">
        <f t="shared" si="42"/>
        <v>239</v>
      </c>
      <c r="Q185" s="3">
        <f t="shared" si="43"/>
        <v>2</v>
      </c>
      <c r="R185" s="3">
        <f t="shared" si="44"/>
        <v>119</v>
      </c>
      <c r="S185" s="9">
        <f t="shared" si="33"/>
        <v>0.48269360895459101</v>
      </c>
      <c r="T185" s="9">
        <f t="shared" si="34"/>
        <v>0.54441913439635536</v>
      </c>
      <c r="U185" s="9">
        <f t="shared" si="35"/>
        <v>10.393013100436681</v>
      </c>
      <c r="V185" s="4">
        <f t="shared" si="37"/>
        <v>9.9999999999994316E-2</v>
      </c>
      <c r="W185" s="2">
        <f t="shared" si="38"/>
        <v>1.0000000000001119E-3</v>
      </c>
    </row>
    <row r="186" spans="1:23">
      <c r="A186">
        <v>596</v>
      </c>
      <c r="B186" s="4">
        <f t="shared" si="36"/>
        <v>480.17578125</v>
      </c>
      <c r="C186" s="4">
        <v>477</v>
      </c>
      <c r="D186" s="4">
        <v>45.9</v>
      </c>
      <c r="E186" s="4">
        <v>0.5</v>
      </c>
      <c r="F186" s="2">
        <v>1.0169999999999999</v>
      </c>
      <c r="G186" s="3">
        <v>5736</v>
      </c>
      <c r="H186" s="3">
        <v>441</v>
      </c>
      <c r="I186" s="3">
        <v>2531</v>
      </c>
      <c r="J186" s="3">
        <v>4552</v>
      </c>
      <c r="K186" s="3">
        <v>5975</v>
      </c>
      <c r="L186" s="3">
        <v>441</v>
      </c>
      <c r="M186" s="3">
        <v>2634</v>
      </c>
      <c r="N186" s="9">
        <f t="shared" si="28"/>
        <v>13.006802721088436</v>
      </c>
      <c r="O186" s="9">
        <f t="shared" si="29"/>
        <v>13.54875283446712</v>
      </c>
      <c r="P186" s="3">
        <f t="shared" si="42"/>
        <v>239</v>
      </c>
      <c r="Q186" s="3">
        <f t="shared" si="43"/>
        <v>0</v>
      </c>
      <c r="R186" s="3">
        <f t="shared" si="44"/>
        <v>103</v>
      </c>
      <c r="S186" s="9">
        <f t="shared" si="33"/>
        <v>0.54195011337868415</v>
      </c>
      <c r="T186" s="9">
        <f t="shared" si="34"/>
        <v>0.54195011337868482</v>
      </c>
      <c r="U186" s="9">
        <f t="shared" si="35"/>
        <v>10.392156862745098</v>
      </c>
      <c r="V186" s="4">
        <f t="shared" si="37"/>
        <v>0.10000000000000142</v>
      </c>
      <c r="W186" s="2">
        <f t="shared" si="38"/>
        <v>9.9999999999988987E-4</v>
      </c>
    </row>
    <row r="187" spans="1:23">
      <c r="A187">
        <v>597</v>
      </c>
      <c r="B187" s="4">
        <f t="shared" si="36"/>
        <v>480.9814453125</v>
      </c>
      <c r="C187" s="4">
        <v>478</v>
      </c>
      <c r="D187" s="4">
        <v>46</v>
      </c>
      <c r="E187" s="4">
        <v>0.5</v>
      </c>
      <c r="F187" s="2">
        <v>1.018</v>
      </c>
      <c r="G187" s="3">
        <v>5736</v>
      </c>
      <c r="H187" s="3">
        <v>441</v>
      </c>
      <c r="I187" s="3">
        <v>2531</v>
      </c>
      <c r="J187" s="3">
        <v>4544</v>
      </c>
      <c r="K187" s="3">
        <v>5975</v>
      </c>
      <c r="L187" s="3">
        <v>442</v>
      </c>
      <c r="M187" s="3">
        <v>2640</v>
      </c>
      <c r="N187" s="9">
        <f t="shared" si="28"/>
        <v>13.006802721088436</v>
      </c>
      <c r="O187" s="9">
        <f t="shared" si="29"/>
        <v>13.518099547511312</v>
      </c>
      <c r="P187" s="3">
        <f t="shared" si="42"/>
        <v>239</v>
      </c>
      <c r="Q187" s="3">
        <f t="shared" si="43"/>
        <v>1</v>
      </c>
      <c r="R187" s="3">
        <f t="shared" si="44"/>
        <v>109</v>
      </c>
      <c r="S187" s="9">
        <f t="shared" si="33"/>
        <v>0.51129682642287655</v>
      </c>
      <c r="T187" s="9">
        <f t="shared" si="34"/>
        <v>0.54195011337868482</v>
      </c>
      <c r="U187" s="9">
        <f t="shared" si="35"/>
        <v>10.391304347826088</v>
      </c>
      <c r="V187" s="4">
        <f t="shared" si="37"/>
        <v>0.10000000000000142</v>
      </c>
      <c r="W187" s="2">
        <f t="shared" si="38"/>
        <v>1.0000000000001119E-3</v>
      </c>
    </row>
    <row r="188" spans="1:23">
      <c r="A188">
        <v>598</v>
      </c>
      <c r="B188" s="4">
        <f t="shared" si="36"/>
        <v>481.787109375</v>
      </c>
      <c r="C188" s="4">
        <v>478</v>
      </c>
      <c r="D188" s="4">
        <v>46</v>
      </c>
      <c r="E188" s="4">
        <v>0.5</v>
      </c>
      <c r="F188" s="2">
        <v>1.02</v>
      </c>
      <c r="G188" s="3">
        <v>5736</v>
      </c>
      <c r="H188" s="3">
        <v>442</v>
      </c>
      <c r="I188" s="3">
        <v>2536</v>
      </c>
      <c r="J188" s="3">
        <v>4560</v>
      </c>
      <c r="K188" s="3">
        <v>5975</v>
      </c>
      <c r="L188" s="3">
        <v>443</v>
      </c>
      <c r="M188" s="3">
        <v>2645</v>
      </c>
      <c r="N188" s="9">
        <f t="shared" si="28"/>
        <v>12.97737556561086</v>
      </c>
      <c r="O188" s="9">
        <f t="shared" si="29"/>
        <v>13.487584650112867</v>
      </c>
      <c r="P188" s="3">
        <f t="shared" si="42"/>
        <v>239</v>
      </c>
      <c r="Q188" s="3">
        <f t="shared" si="43"/>
        <v>1</v>
      </c>
      <c r="R188" s="3">
        <f t="shared" si="44"/>
        <v>109</v>
      </c>
      <c r="S188" s="9">
        <f t="shared" si="33"/>
        <v>0.51020908450200686</v>
      </c>
      <c r="T188" s="9">
        <f t="shared" si="34"/>
        <v>0.54072398190045246</v>
      </c>
      <c r="U188" s="9">
        <f t="shared" si="35"/>
        <v>10.391304347826088</v>
      </c>
      <c r="V188" s="4">
        <f t="shared" si="37"/>
        <v>0</v>
      </c>
      <c r="W188" s="2">
        <f t="shared" si="38"/>
        <v>2.0000000000000018E-3</v>
      </c>
    </row>
    <row r="189" spans="1:23">
      <c r="A189">
        <v>599</v>
      </c>
      <c r="B189" s="4">
        <f t="shared" si="36"/>
        <v>482.5927734375</v>
      </c>
      <c r="C189" s="4">
        <v>479</v>
      </c>
      <c r="D189" s="4">
        <v>46.1</v>
      </c>
      <c r="E189" s="4">
        <v>0.5</v>
      </c>
      <c r="F189" s="2">
        <v>1.0209999999999999</v>
      </c>
      <c r="G189" s="3">
        <v>5736</v>
      </c>
      <c r="H189" s="3">
        <v>442</v>
      </c>
      <c r="I189" s="3">
        <v>2540</v>
      </c>
      <c r="J189" s="3">
        <v>4561</v>
      </c>
      <c r="K189" s="3">
        <v>5975</v>
      </c>
      <c r="L189" s="3">
        <v>443</v>
      </c>
      <c r="M189" s="3">
        <v>2645</v>
      </c>
      <c r="N189" s="9">
        <f t="shared" si="28"/>
        <v>12.97737556561086</v>
      </c>
      <c r="O189" s="9">
        <f t="shared" si="29"/>
        <v>13.487584650112867</v>
      </c>
      <c r="P189" s="3">
        <f t="shared" si="42"/>
        <v>239</v>
      </c>
      <c r="Q189" s="3">
        <f t="shared" si="43"/>
        <v>1</v>
      </c>
      <c r="R189" s="3">
        <f t="shared" si="44"/>
        <v>105</v>
      </c>
      <c r="S189" s="9">
        <f t="shared" si="33"/>
        <v>0.51020908450200686</v>
      </c>
      <c r="T189" s="9">
        <f t="shared" si="34"/>
        <v>0.54072398190045246</v>
      </c>
      <c r="U189" s="9">
        <f t="shared" si="35"/>
        <v>10.390455531453362</v>
      </c>
      <c r="V189" s="4">
        <f t="shared" si="37"/>
        <v>0.10000000000000142</v>
      </c>
      <c r="W189" s="2">
        <f t="shared" si="38"/>
        <v>9.9999999999988987E-4</v>
      </c>
    </row>
    <row r="190" spans="1:23">
      <c r="A190">
        <v>600</v>
      </c>
      <c r="B190" s="4">
        <f t="shared" si="36"/>
        <v>483.3984375</v>
      </c>
      <c r="C190" s="4">
        <v>480</v>
      </c>
      <c r="D190" s="4">
        <v>46.2</v>
      </c>
      <c r="E190" s="4">
        <v>0.5</v>
      </c>
      <c r="F190" s="2">
        <v>1.0229999999999999</v>
      </c>
      <c r="G190" s="3">
        <v>5736</v>
      </c>
      <c r="H190" s="3">
        <v>443</v>
      </c>
      <c r="I190" s="3">
        <v>2541</v>
      </c>
      <c r="J190" s="3">
        <v>4568</v>
      </c>
      <c r="K190" s="3">
        <v>5975</v>
      </c>
      <c r="L190" s="3">
        <v>444</v>
      </c>
      <c r="M190" s="3">
        <v>2651</v>
      </c>
      <c r="N190" s="9">
        <f t="shared" si="28"/>
        <v>12.948081264108351</v>
      </c>
      <c r="O190" s="9">
        <f t="shared" si="29"/>
        <v>13.457207207207206</v>
      </c>
      <c r="P190" s="3">
        <f t="shared" ref="P190:P221" si="45">(K190-G190)</f>
        <v>239</v>
      </c>
      <c r="Q190" s="3">
        <f t="shared" ref="Q190:Q221" si="46">(L190-H190)</f>
        <v>1</v>
      </c>
      <c r="R190" s="3">
        <f t="shared" ref="R190:R221" si="47">(M190-I190)</f>
        <v>110</v>
      </c>
      <c r="S190" s="9">
        <f t="shared" si="33"/>
        <v>0.50912594309885506</v>
      </c>
      <c r="T190" s="9">
        <f t="shared" si="34"/>
        <v>0.53950338600451464</v>
      </c>
      <c r="U190" s="9">
        <f t="shared" si="35"/>
        <v>10.38961038961039</v>
      </c>
      <c r="V190" s="4">
        <f t="shared" si="37"/>
        <v>0.10000000000000142</v>
      </c>
      <c r="W190" s="2">
        <f t="shared" si="38"/>
        <v>2.0000000000000018E-3</v>
      </c>
    </row>
    <row r="191" spans="1:23">
      <c r="A191">
        <v>601</v>
      </c>
      <c r="B191" s="4">
        <f t="shared" si="36"/>
        <v>484.2041015625</v>
      </c>
      <c r="C191" s="4">
        <v>481</v>
      </c>
      <c r="D191" s="4">
        <v>46.2</v>
      </c>
      <c r="E191" s="4">
        <v>0.5</v>
      </c>
      <c r="F191" s="2">
        <v>1.0249999999999999</v>
      </c>
      <c r="G191" s="3">
        <v>5732</v>
      </c>
      <c r="H191" s="3">
        <v>443</v>
      </c>
      <c r="I191" s="3">
        <v>2546</v>
      </c>
      <c r="J191" s="3">
        <v>4583</v>
      </c>
      <c r="K191" s="3">
        <v>5975</v>
      </c>
      <c r="L191" s="3">
        <v>445</v>
      </c>
      <c r="M191" s="3">
        <v>2658</v>
      </c>
      <c r="N191" s="9">
        <f t="shared" si="28"/>
        <v>12.939051918735892</v>
      </c>
      <c r="O191" s="9">
        <f t="shared" si="29"/>
        <v>13.426966292134832</v>
      </c>
      <c r="P191" s="3">
        <f t="shared" si="45"/>
        <v>243</v>
      </c>
      <c r="Q191" s="3">
        <f t="shared" si="46"/>
        <v>2</v>
      </c>
      <c r="R191" s="3">
        <f t="shared" si="47"/>
        <v>112</v>
      </c>
      <c r="S191" s="9">
        <f t="shared" si="33"/>
        <v>0.48791437339894017</v>
      </c>
      <c r="T191" s="9">
        <f t="shared" si="34"/>
        <v>0.54853273137697522</v>
      </c>
      <c r="U191" s="9">
        <f t="shared" si="35"/>
        <v>10.411255411255411</v>
      </c>
      <c r="V191" s="4">
        <f t="shared" si="37"/>
        <v>0</v>
      </c>
      <c r="W191" s="2">
        <f t="shared" si="38"/>
        <v>2.0000000000000018E-3</v>
      </c>
    </row>
    <row r="192" spans="1:23">
      <c r="A192">
        <v>602</v>
      </c>
      <c r="B192" s="4">
        <f t="shared" si="36"/>
        <v>485.009765625</v>
      </c>
      <c r="C192" s="4">
        <v>481</v>
      </c>
      <c r="D192" s="4">
        <v>46.3</v>
      </c>
      <c r="E192" s="4">
        <v>0.5</v>
      </c>
      <c r="F192" s="2">
        <v>1.0269999999999999</v>
      </c>
      <c r="G192" s="3">
        <v>5732</v>
      </c>
      <c r="H192" s="3">
        <v>445</v>
      </c>
      <c r="I192" s="3">
        <v>2552</v>
      </c>
      <c r="J192" s="3">
        <v>4589</v>
      </c>
      <c r="K192" s="3">
        <v>5975</v>
      </c>
      <c r="L192" s="3">
        <v>445</v>
      </c>
      <c r="M192" s="3">
        <v>2658</v>
      </c>
      <c r="N192" s="9">
        <f t="shared" si="28"/>
        <v>12.880898876404494</v>
      </c>
      <c r="O192" s="9">
        <f t="shared" si="29"/>
        <v>13.426966292134832</v>
      </c>
      <c r="P192" s="3">
        <f t="shared" si="45"/>
        <v>243</v>
      </c>
      <c r="Q192" s="3">
        <f t="shared" si="46"/>
        <v>0</v>
      </c>
      <c r="R192" s="3">
        <f t="shared" si="47"/>
        <v>106</v>
      </c>
      <c r="S192" s="9">
        <f t="shared" si="33"/>
        <v>0.54606741573033801</v>
      </c>
      <c r="T192" s="9">
        <f t="shared" si="34"/>
        <v>0.54606741573033712</v>
      </c>
      <c r="U192" s="9">
        <f t="shared" si="35"/>
        <v>10.388768898488122</v>
      </c>
      <c r="V192" s="4">
        <f t="shared" si="37"/>
        <v>9.9999999999994316E-2</v>
      </c>
      <c r="W192" s="2">
        <f t="shared" si="38"/>
        <v>2.0000000000000018E-3</v>
      </c>
    </row>
    <row r="193" spans="1:23">
      <c r="A193">
        <v>603</v>
      </c>
      <c r="B193" s="4">
        <f t="shared" si="36"/>
        <v>485.8154296875</v>
      </c>
      <c r="C193" s="4">
        <v>482</v>
      </c>
      <c r="D193" s="4">
        <v>46.4</v>
      </c>
      <c r="E193" s="4">
        <v>0.5</v>
      </c>
      <c r="F193" s="2">
        <v>1.0289999999999999</v>
      </c>
      <c r="G193" s="3">
        <v>5732</v>
      </c>
      <c r="H193" s="3">
        <v>445</v>
      </c>
      <c r="I193" s="3">
        <v>2552</v>
      </c>
      <c r="J193" s="3">
        <v>4595</v>
      </c>
      <c r="K193" s="3">
        <v>5975</v>
      </c>
      <c r="L193" s="3">
        <v>446</v>
      </c>
      <c r="M193" s="3">
        <v>2664</v>
      </c>
      <c r="N193" s="9">
        <f t="shared" si="28"/>
        <v>12.880898876404494</v>
      </c>
      <c r="O193" s="9">
        <f t="shared" si="29"/>
        <v>13.396860986547086</v>
      </c>
      <c r="P193" s="3">
        <f t="shared" si="45"/>
        <v>243</v>
      </c>
      <c r="Q193" s="3">
        <f t="shared" si="46"/>
        <v>1</v>
      </c>
      <c r="R193" s="3">
        <f t="shared" si="47"/>
        <v>112</v>
      </c>
      <c r="S193" s="9">
        <f t="shared" si="33"/>
        <v>0.51596211014259197</v>
      </c>
      <c r="T193" s="9">
        <f t="shared" si="34"/>
        <v>0.54606741573033712</v>
      </c>
      <c r="U193" s="9">
        <f t="shared" si="35"/>
        <v>10.38793103448276</v>
      </c>
      <c r="V193" s="4">
        <f t="shared" si="37"/>
        <v>0.10000000000000142</v>
      </c>
      <c r="W193" s="2">
        <f t="shared" si="38"/>
        <v>2.0000000000000018E-3</v>
      </c>
    </row>
    <row r="194" spans="1:23">
      <c r="A194">
        <v>604</v>
      </c>
      <c r="B194" s="4">
        <f t="shared" si="36"/>
        <v>486.62109375</v>
      </c>
      <c r="C194" s="4">
        <v>483</v>
      </c>
      <c r="D194" s="4">
        <v>46.4</v>
      </c>
      <c r="E194" s="4">
        <v>0.5</v>
      </c>
      <c r="F194" s="2">
        <v>1.0309999999999999</v>
      </c>
      <c r="G194" s="3">
        <v>5732</v>
      </c>
      <c r="H194" s="3">
        <v>445</v>
      </c>
      <c r="I194" s="3">
        <v>2556</v>
      </c>
      <c r="J194" s="3">
        <v>4598</v>
      </c>
      <c r="K194" s="3">
        <v>5975</v>
      </c>
      <c r="L194" s="3">
        <v>447</v>
      </c>
      <c r="M194" s="3">
        <v>2669</v>
      </c>
      <c r="N194" s="9">
        <f t="shared" si="28"/>
        <v>12.880898876404494</v>
      </c>
      <c r="O194" s="9">
        <f t="shared" si="29"/>
        <v>13.366890380313199</v>
      </c>
      <c r="P194" s="3">
        <f t="shared" si="45"/>
        <v>243</v>
      </c>
      <c r="Q194" s="3">
        <f t="shared" si="46"/>
        <v>2</v>
      </c>
      <c r="R194" s="3">
        <f t="shared" si="47"/>
        <v>113</v>
      </c>
      <c r="S194" s="9">
        <f t="shared" si="33"/>
        <v>0.48599150390870527</v>
      </c>
      <c r="T194" s="9">
        <f t="shared" si="34"/>
        <v>0.54606741573033712</v>
      </c>
      <c r="U194" s="9">
        <f t="shared" si="35"/>
        <v>10.40948275862069</v>
      </c>
      <c r="V194" s="4">
        <f t="shared" si="37"/>
        <v>0</v>
      </c>
      <c r="W194" s="2">
        <f t="shared" si="38"/>
        <v>2.0000000000000018E-3</v>
      </c>
    </row>
    <row r="195" spans="1:23">
      <c r="A195">
        <v>605</v>
      </c>
      <c r="B195" s="4">
        <f t="shared" si="36"/>
        <v>487.4267578125</v>
      </c>
      <c r="C195" s="4">
        <v>484</v>
      </c>
      <c r="D195" s="4">
        <v>46.5</v>
      </c>
      <c r="E195" s="4">
        <v>0.5</v>
      </c>
      <c r="F195" s="2">
        <v>1.0329999999999999</v>
      </c>
      <c r="G195" s="3">
        <v>5732</v>
      </c>
      <c r="H195" s="3">
        <v>446</v>
      </c>
      <c r="I195" s="3">
        <v>2559</v>
      </c>
      <c r="J195" s="3">
        <v>4606</v>
      </c>
      <c r="K195" s="3">
        <v>5975</v>
      </c>
      <c r="L195" s="3">
        <v>447</v>
      </c>
      <c r="M195" s="3">
        <v>2669</v>
      </c>
      <c r="N195" s="9">
        <f t="shared" ref="N195:N241" si="48">(G195/H195)</f>
        <v>12.852017937219731</v>
      </c>
      <c r="O195" s="9">
        <f t="shared" ref="O195:O241" si="49">(K195/L195)</f>
        <v>13.366890380313199</v>
      </c>
      <c r="P195" s="3">
        <f t="shared" si="45"/>
        <v>243</v>
      </c>
      <c r="Q195" s="3">
        <f t="shared" si="46"/>
        <v>1</v>
      </c>
      <c r="R195" s="3">
        <f t="shared" si="47"/>
        <v>110</v>
      </c>
      <c r="S195" s="9">
        <f t="shared" ref="S195:S241" si="50">(O195-N195)</f>
        <v>0.51487244309346814</v>
      </c>
      <c r="T195" s="9">
        <f t="shared" si="34"/>
        <v>0.54484304932735428</v>
      </c>
      <c r="U195" s="9">
        <f t="shared" si="35"/>
        <v>10.408602150537634</v>
      </c>
      <c r="V195" s="4">
        <f t="shared" si="37"/>
        <v>0.10000000000000142</v>
      </c>
      <c r="W195" s="2">
        <f t="shared" si="38"/>
        <v>2.0000000000000018E-3</v>
      </c>
    </row>
    <row r="196" spans="1:23">
      <c r="A196">
        <v>606</v>
      </c>
      <c r="B196" s="4">
        <f t="shared" si="36"/>
        <v>488.232421875</v>
      </c>
      <c r="C196" s="4">
        <v>485</v>
      </c>
      <c r="D196" s="4">
        <v>46.6</v>
      </c>
      <c r="E196" s="4">
        <v>0.5</v>
      </c>
      <c r="F196" s="2">
        <v>1.036</v>
      </c>
      <c r="G196" s="3">
        <v>5732</v>
      </c>
      <c r="H196" s="3">
        <v>447</v>
      </c>
      <c r="I196" s="3">
        <v>2563</v>
      </c>
      <c r="J196" s="3">
        <v>4616</v>
      </c>
      <c r="K196" s="3">
        <v>5975</v>
      </c>
      <c r="L196" s="3">
        <v>448</v>
      </c>
      <c r="M196" s="3">
        <v>2675</v>
      </c>
      <c r="N196" s="9">
        <f t="shared" si="48"/>
        <v>12.823266219239374</v>
      </c>
      <c r="O196" s="9">
        <f t="shared" si="49"/>
        <v>13.337053571428571</v>
      </c>
      <c r="P196" s="3">
        <f t="shared" si="45"/>
        <v>243</v>
      </c>
      <c r="Q196" s="3">
        <f t="shared" si="46"/>
        <v>1</v>
      </c>
      <c r="R196" s="3">
        <f t="shared" si="47"/>
        <v>112</v>
      </c>
      <c r="S196" s="9">
        <f t="shared" si="50"/>
        <v>0.51378735218919758</v>
      </c>
      <c r="T196" s="9">
        <f t="shared" ref="T196:T241" si="51">(P196/H196)</f>
        <v>0.5436241610738255</v>
      </c>
      <c r="U196" s="9">
        <f t="shared" ref="U196:U241" si="52">(C196/D196)</f>
        <v>10.407725321888412</v>
      </c>
      <c r="V196" s="4">
        <f t="shared" si="37"/>
        <v>0.10000000000000142</v>
      </c>
      <c r="W196" s="2">
        <f t="shared" si="38"/>
        <v>3.0000000000001137E-3</v>
      </c>
    </row>
    <row r="197" spans="1:23">
      <c r="A197">
        <v>607</v>
      </c>
      <c r="B197" s="4">
        <f t="shared" ref="B197:B241" si="53">3300*(A197/4096)</f>
        <v>489.0380859375</v>
      </c>
      <c r="C197" s="4">
        <v>486</v>
      </c>
      <c r="D197" s="4">
        <v>46.7</v>
      </c>
      <c r="E197" s="4">
        <v>0.5</v>
      </c>
      <c r="F197" s="2">
        <v>1.038</v>
      </c>
      <c r="G197" s="3">
        <v>5728</v>
      </c>
      <c r="H197" s="3">
        <v>447</v>
      </c>
      <c r="I197" s="3">
        <v>2569</v>
      </c>
      <c r="J197" s="3">
        <v>4617</v>
      </c>
      <c r="K197" s="3">
        <v>5975</v>
      </c>
      <c r="L197" s="3">
        <v>449</v>
      </c>
      <c r="M197" s="3">
        <v>2681</v>
      </c>
      <c r="N197" s="9">
        <f t="shared" si="48"/>
        <v>12.814317673378076</v>
      </c>
      <c r="O197" s="9">
        <f t="shared" si="49"/>
        <v>13.307349665924276</v>
      </c>
      <c r="P197" s="3">
        <f t="shared" si="45"/>
        <v>247</v>
      </c>
      <c r="Q197" s="3">
        <f t="shared" si="46"/>
        <v>2</v>
      </c>
      <c r="R197" s="3">
        <f t="shared" si="47"/>
        <v>112</v>
      </c>
      <c r="S197" s="9">
        <f t="shared" si="50"/>
        <v>0.49303199254620012</v>
      </c>
      <c r="T197" s="9">
        <f t="shared" si="51"/>
        <v>0.55257270693512306</v>
      </c>
      <c r="U197" s="9">
        <f t="shared" si="52"/>
        <v>10.406852248394003</v>
      </c>
      <c r="V197" s="4">
        <f t="shared" ref="V197:V241" si="54">(D197-D196)</f>
        <v>0.10000000000000142</v>
      </c>
      <c r="W197" s="2">
        <f t="shared" ref="W197:W241" si="55">(F197-F196)</f>
        <v>2.0000000000000018E-3</v>
      </c>
    </row>
    <row r="198" spans="1:23">
      <c r="A198">
        <v>608</v>
      </c>
      <c r="B198" s="4">
        <f t="shared" si="53"/>
        <v>489.84375</v>
      </c>
      <c r="C198" s="4">
        <v>486</v>
      </c>
      <c r="D198" s="4">
        <v>46.7</v>
      </c>
      <c r="E198" s="4">
        <v>0.5</v>
      </c>
      <c r="F198" s="2">
        <v>1.042</v>
      </c>
      <c r="G198" s="3">
        <v>5732</v>
      </c>
      <c r="H198" s="3">
        <v>448</v>
      </c>
      <c r="I198" s="3">
        <v>2574</v>
      </c>
      <c r="J198" s="3">
        <v>4627</v>
      </c>
      <c r="K198" s="3">
        <v>5975</v>
      </c>
      <c r="L198" s="3">
        <v>449</v>
      </c>
      <c r="M198" s="3">
        <v>2681</v>
      </c>
      <c r="N198" s="9">
        <f t="shared" si="48"/>
        <v>12.794642857142858</v>
      </c>
      <c r="O198" s="9">
        <f t="shared" si="49"/>
        <v>13.307349665924276</v>
      </c>
      <c r="P198" s="3">
        <f t="shared" si="45"/>
        <v>243</v>
      </c>
      <c r="Q198" s="3">
        <f t="shared" si="46"/>
        <v>1</v>
      </c>
      <c r="R198" s="3">
        <f t="shared" si="47"/>
        <v>107</v>
      </c>
      <c r="S198" s="9">
        <f t="shared" si="50"/>
        <v>0.51270680878141839</v>
      </c>
      <c r="T198" s="9">
        <f t="shared" si="51"/>
        <v>0.5424107142857143</v>
      </c>
      <c r="U198" s="9">
        <f t="shared" si="52"/>
        <v>10.406852248394003</v>
      </c>
      <c r="V198" s="4">
        <f t="shared" si="54"/>
        <v>0</v>
      </c>
      <c r="W198" s="2">
        <f t="shared" si="55"/>
        <v>4.0000000000000036E-3</v>
      </c>
    </row>
    <row r="199" spans="1:23">
      <c r="A199">
        <v>609</v>
      </c>
      <c r="B199" s="4">
        <f t="shared" si="53"/>
        <v>490.6494140625</v>
      </c>
      <c r="C199" s="4">
        <v>487</v>
      </c>
      <c r="D199" s="4">
        <v>46.8</v>
      </c>
      <c r="E199" s="4">
        <v>0.5</v>
      </c>
      <c r="F199" s="2">
        <v>1.044</v>
      </c>
      <c r="G199" s="3">
        <v>5728</v>
      </c>
      <c r="H199" s="3">
        <v>449</v>
      </c>
      <c r="I199" s="3">
        <v>2578</v>
      </c>
      <c r="J199" s="3">
        <v>4635</v>
      </c>
      <c r="K199" s="3">
        <v>5975</v>
      </c>
      <c r="L199" s="3">
        <v>450</v>
      </c>
      <c r="M199" s="3">
        <v>2687</v>
      </c>
      <c r="N199" s="9">
        <f t="shared" si="48"/>
        <v>12.757238307349667</v>
      </c>
      <c r="O199" s="9">
        <f t="shared" si="49"/>
        <v>13.277777777777779</v>
      </c>
      <c r="P199" s="3">
        <f t="shared" si="45"/>
        <v>247</v>
      </c>
      <c r="Q199" s="3">
        <f t="shared" si="46"/>
        <v>1</v>
      </c>
      <c r="R199" s="3">
        <f t="shared" si="47"/>
        <v>109</v>
      </c>
      <c r="S199" s="9">
        <f t="shared" si="50"/>
        <v>0.52053947042811188</v>
      </c>
      <c r="T199" s="9">
        <f t="shared" si="51"/>
        <v>0.55011135857461024</v>
      </c>
      <c r="U199" s="9">
        <f t="shared" si="52"/>
        <v>10.405982905982906</v>
      </c>
      <c r="V199" s="4">
        <f t="shared" si="54"/>
        <v>9.9999999999994316E-2</v>
      </c>
      <c r="W199" s="2">
        <f t="shared" si="55"/>
        <v>2.0000000000000018E-3</v>
      </c>
    </row>
    <row r="200" spans="1:23">
      <c r="A200">
        <v>610</v>
      </c>
      <c r="B200" s="4">
        <f t="shared" si="53"/>
        <v>491.455078125</v>
      </c>
      <c r="C200" s="4">
        <v>488</v>
      </c>
      <c r="D200" s="4">
        <v>46.9</v>
      </c>
      <c r="E200" s="4">
        <v>0.5</v>
      </c>
      <c r="F200" s="2">
        <v>1.0469999999999999</v>
      </c>
      <c r="G200" s="3">
        <v>5728</v>
      </c>
      <c r="H200" s="3">
        <v>450</v>
      </c>
      <c r="I200" s="3">
        <v>2580</v>
      </c>
      <c r="J200" s="3">
        <v>4640</v>
      </c>
      <c r="K200" s="3">
        <v>5975</v>
      </c>
      <c r="L200" s="3">
        <v>451</v>
      </c>
      <c r="M200" s="3">
        <v>2693</v>
      </c>
      <c r="N200" s="9">
        <f t="shared" si="48"/>
        <v>12.728888888888889</v>
      </c>
      <c r="O200" s="9">
        <f t="shared" si="49"/>
        <v>13.248337028824833</v>
      </c>
      <c r="P200" s="3">
        <f t="shared" si="45"/>
        <v>247</v>
      </c>
      <c r="Q200" s="3">
        <f t="shared" si="46"/>
        <v>1</v>
      </c>
      <c r="R200" s="3">
        <f t="shared" si="47"/>
        <v>113</v>
      </c>
      <c r="S200" s="9">
        <f t="shared" si="50"/>
        <v>0.5194481399359443</v>
      </c>
      <c r="T200" s="9">
        <f t="shared" si="51"/>
        <v>0.54888888888888887</v>
      </c>
      <c r="U200" s="9">
        <f t="shared" si="52"/>
        <v>10.405117270788914</v>
      </c>
      <c r="V200" s="4">
        <f t="shared" si="54"/>
        <v>0.10000000000000142</v>
      </c>
      <c r="W200" s="2">
        <f t="shared" si="55"/>
        <v>2.9999999999998916E-3</v>
      </c>
    </row>
    <row r="201" spans="1:23">
      <c r="A201">
        <v>611</v>
      </c>
      <c r="B201" s="4">
        <f t="shared" si="53"/>
        <v>492.2607421875</v>
      </c>
      <c r="C201" s="4">
        <v>489</v>
      </c>
      <c r="D201" s="4">
        <v>46.9</v>
      </c>
      <c r="E201" s="4">
        <v>0.5</v>
      </c>
      <c r="F201" s="2">
        <v>1.0509999999999999</v>
      </c>
      <c r="G201" s="3">
        <v>5728</v>
      </c>
      <c r="H201" s="3">
        <v>450</v>
      </c>
      <c r="I201" s="3">
        <v>2581</v>
      </c>
      <c r="J201" s="3">
        <v>4654</v>
      </c>
      <c r="K201" s="3">
        <v>5975</v>
      </c>
      <c r="L201" s="3">
        <v>451</v>
      </c>
      <c r="M201" s="3">
        <v>2693</v>
      </c>
      <c r="N201" s="9">
        <f t="shared" si="48"/>
        <v>12.728888888888889</v>
      </c>
      <c r="O201" s="9">
        <f t="shared" si="49"/>
        <v>13.248337028824833</v>
      </c>
      <c r="P201" s="3">
        <f t="shared" si="45"/>
        <v>247</v>
      </c>
      <c r="Q201" s="3">
        <f t="shared" si="46"/>
        <v>1</v>
      </c>
      <c r="R201" s="3">
        <f t="shared" si="47"/>
        <v>112</v>
      </c>
      <c r="S201" s="9">
        <f t="shared" si="50"/>
        <v>0.5194481399359443</v>
      </c>
      <c r="T201" s="9">
        <f t="shared" si="51"/>
        <v>0.54888888888888887</v>
      </c>
      <c r="U201" s="9">
        <f t="shared" si="52"/>
        <v>10.426439232409383</v>
      </c>
      <c r="V201" s="4">
        <f t="shared" si="54"/>
        <v>0</v>
      </c>
      <c r="W201" s="2">
        <f t="shared" si="55"/>
        <v>4.0000000000000036E-3</v>
      </c>
    </row>
    <row r="202" spans="1:23">
      <c r="A202">
        <v>612</v>
      </c>
      <c r="B202" s="4">
        <f t="shared" si="53"/>
        <v>493.06640625</v>
      </c>
      <c r="C202" s="4">
        <v>490</v>
      </c>
      <c r="D202" s="4">
        <v>47</v>
      </c>
      <c r="E202" s="4">
        <v>0.5</v>
      </c>
      <c r="F202" s="2">
        <v>1.054</v>
      </c>
      <c r="G202" s="3">
        <v>5728</v>
      </c>
      <c r="H202" s="3">
        <v>451</v>
      </c>
      <c r="I202" s="3">
        <v>2585</v>
      </c>
      <c r="J202" s="3">
        <v>4654</v>
      </c>
      <c r="K202" s="3">
        <v>5975</v>
      </c>
      <c r="L202" s="3">
        <v>452</v>
      </c>
      <c r="M202" s="3">
        <v>2699</v>
      </c>
      <c r="N202" s="9">
        <f t="shared" si="48"/>
        <v>12.700665188470067</v>
      </c>
      <c r="O202" s="9">
        <f t="shared" si="49"/>
        <v>13.219026548672566</v>
      </c>
      <c r="P202" s="3">
        <f t="shared" si="45"/>
        <v>247</v>
      </c>
      <c r="Q202" s="3">
        <f t="shared" si="46"/>
        <v>1</v>
      </c>
      <c r="R202" s="3">
        <f t="shared" si="47"/>
        <v>114</v>
      </c>
      <c r="S202" s="9">
        <f t="shared" si="50"/>
        <v>0.51836136020249945</v>
      </c>
      <c r="T202" s="9">
        <f t="shared" si="51"/>
        <v>0.54767184035476724</v>
      </c>
      <c r="U202" s="9">
        <f t="shared" si="52"/>
        <v>10.425531914893616</v>
      </c>
      <c r="V202" s="4">
        <f t="shared" si="54"/>
        <v>0.10000000000000142</v>
      </c>
      <c r="W202" s="2">
        <f t="shared" si="55"/>
        <v>3.0000000000001137E-3</v>
      </c>
    </row>
    <row r="203" spans="1:23">
      <c r="A203">
        <v>613</v>
      </c>
      <c r="B203" s="4">
        <f t="shared" si="53"/>
        <v>493.8720703125</v>
      </c>
      <c r="C203" s="4">
        <v>490</v>
      </c>
      <c r="D203" s="4">
        <v>47.1</v>
      </c>
      <c r="E203" s="4">
        <v>0.5</v>
      </c>
      <c r="F203" s="2">
        <v>1.0580000000000001</v>
      </c>
      <c r="G203" s="3">
        <v>5728</v>
      </c>
      <c r="H203" s="3">
        <v>452</v>
      </c>
      <c r="I203" s="3">
        <v>2590</v>
      </c>
      <c r="J203" s="3">
        <v>4660</v>
      </c>
      <c r="K203" s="3">
        <v>5975</v>
      </c>
      <c r="L203" s="3">
        <v>453</v>
      </c>
      <c r="M203" s="3">
        <v>2705</v>
      </c>
      <c r="N203" s="9">
        <f t="shared" si="48"/>
        <v>12.672566371681416</v>
      </c>
      <c r="O203" s="9">
        <f t="shared" si="49"/>
        <v>13.189845474613687</v>
      </c>
      <c r="P203" s="3">
        <f t="shared" si="45"/>
        <v>247</v>
      </c>
      <c r="Q203" s="3">
        <f t="shared" si="46"/>
        <v>1</v>
      </c>
      <c r="R203" s="3">
        <f t="shared" si="47"/>
        <v>115</v>
      </c>
      <c r="S203" s="9">
        <f t="shared" si="50"/>
        <v>0.51727910293227097</v>
      </c>
      <c r="T203" s="9">
        <f t="shared" si="51"/>
        <v>0.54646017699115046</v>
      </c>
      <c r="U203" s="9">
        <f t="shared" si="52"/>
        <v>10.40339702760085</v>
      </c>
      <c r="V203" s="4">
        <f t="shared" si="54"/>
        <v>0.10000000000000142</v>
      </c>
      <c r="W203" s="2">
        <f t="shared" si="55"/>
        <v>4.0000000000000036E-3</v>
      </c>
    </row>
    <row r="204" spans="1:23">
      <c r="A204">
        <v>614</v>
      </c>
      <c r="B204" s="4">
        <f t="shared" si="53"/>
        <v>494.677734375</v>
      </c>
      <c r="C204" s="4">
        <v>491</v>
      </c>
      <c r="D204" s="4">
        <v>47.1</v>
      </c>
      <c r="E204" s="4">
        <v>0.5</v>
      </c>
      <c r="F204" s="2">
        <v>1.0569999999999999</v>
      </c>
      <c r="G204" s="3">
        <v>5728</v>
      </c>
      <c r="H204" s="3">
        <v>452</v>
      </c>
      <c r="I204" s="3">
        <v>2596</v>
      </c>
      <c r="J204" s="3">
        <v>4664</v>
      </c>
      <c r="K204" s="3">
        <v>5975</v>
      </c>
      <c r="L204" s="3">
        <v>454</v>
      </c>
      <c r="M204" s="3">
        <v>2711</v>
      </c>
      <c r="N204" s="9">
        <f t="shared" si="48"/>
        <v>12.672566371681416</v>
      </c>
      <c r="O204" s="9">
        <f t="shared" si="49"/>
        <v>13.16079295154185</v>
      </c>
      <c r="P204" s="3">
        <f t="shared" si="45"/>
        <v>247</v>
      </c>
      <c r="Q204" s="3">
        <f t="shared" si="46"/>
        <v>2</v>
      </c>
      <c r="R204" s="3">
        <f t="shared" si="47"/>
        <v>115</v>
      </c>
      <c r="S204" s="9">
        <f t="shared" si="50"/>
        <v>0.48822657986043438</v>
      </c>
      <c r="T204" s="9">
        <f t="shared" si="51"/>
        <v>0.54646017699115046</v>
      </c>
      <c r="U204" s="9">
        <f t="shared" si="52"/>
        <v>10.424628450106157</v>
      </c>
      <c r="V204" s="4">
        <f t="shared" si="54"/>
        <v>0</v>
      </c>
      <c r="W204" s="2">
        <f t="shared" si="55"/>
        <v>-1.0000000000001119E-3</v>
      </c>
    </row>
    <row r="205" spans="1:23">
      <c r="A205">
        <v>615</v>
      </c>
      <c r="B205" s="4">
        <f t="shared" si="53"/>
        <v>495.4833984375</v>
      </c>
      <c r="C205" s="4">
        <v>492</v>
      </c>
      <c r="D205" s="4">
        <v>47.2</v>
      </c>
      <c r="E205" s="4">
        <v>0.5</v>
      </c>
      <c r="F205" s="2">
        <v>1.06</v>
      </c>
      <c r="G205" s="3">
        <v>5724</v>
      </c>
      <c r="H205" s="3">
        <v>453</v>
      </c>
      <c r="I205" s="3">
        <v>2600</v>
      </c>
      <c r="J205" s="3">
        <v>4680</v>
      </c>
      <c r="K205" s="3">
        <v>5975</v>
      </c>
      <c r="L205" s="3">
        <v>454</v>
      </c>
      <c r="M205" s="3">
        <v>2711</v>
      </c>
      <c r="N205" s="9">
        <f t="shared" si="48"/>
        <v>12.635761589403973</v>
      </c>
      <c r="O205" s="9">
        <f t="shared" si="49"/>
        <v>13.16079295154185</v>
      </c>
      <c r="P205" s="3">
        <f t="shared" si="45"/>
        <v>251</v>
      </c>
      <c r="Q205" s="3">
        <f t="shared" si="46"/>
        <v>1</v>
      </c>
      <c r="R205" s="3">
        <f t="shared" si="47"/>
        <v>111</v>
      </c>
      <c r="S205" s="9">
        <f t="shared" si="50"/>
        <v>0.52503136213787727</v>
      </c>
      <c r="T205" s="9">
        <f t="shared" si="51"/>
        <v>0.55408388520971308</v>
      </c>
      <c r="U205" s="9">
        <f t="shared" si="52"/>
        <v>10.423728813559322</v>
      </c>
      <c r="V205" s="4">
        <f t="shared" si="54"/>
        <v>0.10000000000000142</v>
      </c>
      <c r="W205" s="2">
        <f t="shared" si="55"/>
        <v>3.0000000000001137E-3</v>
      </c>
    </row>
    <row r="206" spans="1:23">
      <c r="A206">
        <v>616</v>
      </c>
      <c r="B206" s="4">
        <f t="shared" si="53"/>
        <v>496.2890625</v>
      </c>
      <c r="C206" s="4">
        <v>493</v>
      </c>
      <c r="D206" s="4">
        <v>47.3</v>
      </c>
      <c r="E206" s="4">
        <v>0.5</v>
      </c>
      <c r="F206" s="2">
        <v>1.056</v>
      </c>
      <c r="G206" s="3">
        <v>5728</v>
      </c>
      <c r="H206" s="3">
        <v>454</v>
      </c>
      <c r="I206" s="3">
        <v>2603</v>
      </c>
      <c r="J206" s="3">
        <v>4683</v>
      </c>
      <c r="K206" s="3">
        <v>5975</v>
      </c>
      <c r="L206" s="3">
        <v>455</v>
      </c>
      <c r="M206" s="3">
        <v>2717</v>
      </c>
      <c r="N206" s="9">
        <f t="shared" si="48"/>
        <v>12.616740088105727</v>
      </c>
      <c r="O206" s="9">
        <f t="shared" si="49"/>
        <v>13.131868131868131</v>
      </c>
      <c r="P206" s="3">
        <f t="shared" si="45"/>
        <v>247</v>
      </c>
      <c r="Q206" s="3">
        <f t="shared" si="46"/>
        <v>1</v>
      </c>
      <c r="R206" s="3">
        <f t="shared" si="47"/>
        <v>114</v>
      </c>
      <c r="S206" s="9">
        <f t="shared" si="50"/>
        <v>0.51512804376240418</v>
      </c>
      <c r="T206" s="9">
        <f t="shared" si="51"/>
        <v>0.54405286343612336</v>
      </c>
      <c r="U206" s="9">
        <f t="shared" si="52"/>
        <v>10.422832980972517</v>
      </c>
      <c r="V206" s="4">
        <f t="shared" si="54"/>
        <v>9.9999999999994316E-2</v>
      </c>
      <c r="W206" s="2">
        <f t="shared" si="55"/>
        <v>-4.0000000000000036E-3</v>
      </c>
    </row>
    <row r="207" spans="1:23">
      <c r="A207">
        <v>617</v>
      </c>
      <c r="B207" s="4">
        <f t="shared" si="53"/>
        <v>497.0947265625</v>
      </c>
      <c r="C207" s="4">
        <v>494</v>
      </c>
      <c r="D207" s="4">
        <v>47.4</v>
      </c>
      <c r="E207" s="4">
        <v>0.5</v>
      </c>
      <c r="F207" s="2">
        <v>1.0580000000000001</v>
      </c>
      <c r="G207" s="3">
        <v>5728</v>
      </c>
      <c r="H207" s="3">
        <v>455</v>
      </c>
      <c r="I207" s="3">
        <v>2606</v>
      </c>
      <c r="J207" s="3">
        <v>4691</v>
      </c>
      <c r="K207" s="3">
        <v>5975</v>
      </c>
      <c r="L207" s="3">
        <v>456</v>
      </c>
      <c r="M207" s="3">
        <v>2723</v>
      </c>
      <c r="N207" s="9">
        <f t="shared" si="48"/>
        <v>12.589010989010989</v>
      </c>
      <c r="O207" s="9">
        <f t="shared" si="49"/>
        <v>13.103070175438596</v>
      </c>
      <c r="P207" s="3">
        <f t="shared" si="45"/>
        <v>247</v>
      </c>
      <c r="Q207" s="3">
        <f t="shared" si="46"/>
        <v>1</v>
      </c>
      <c r="R207" s="3">
        <f t="shared" si="47"/>
        <v>117</v>
      </c>
      <c r="S207" s="9">
        <f t="shared" si="50"/>
        <v>0.51405918642760717</v>
      </c>
      <c r="T207" s="9">
        <f t="shared" si="51"/>
        <v>0.54285714285714282</v>
      </c>
      <c r="U207" s="9">
        <f t="shared" si="52"/>
        <v>10.421940928270043</v>
      </c>
      <c r="V207" s="4">
        <f t="shared" si="54"/>
        <v>0.10000000000000142</v>
      </c>
      <c r="W207" s="2">
        <f t="shared" si="55"/>
        <v>2.0000000000000018E-3</v>
      </c>
    </row>
    <row r="208" spans="1:23">
      <c r="A208">
        <v>618</v>
      </c>
      <c r="B208" s="4">
        <f t="shared" si="53"/>
        <v>497.900390625</v>
      </c>
      <c r="C208" s="4">
        <v>494</v>
      </c>
      <c r="D208" s="4">
        <v>47.5</v>
      </c>
      <c r="E208" s="4">
        <v>0.5</v>
      </c>
      <c r="F208" s="2">
        <v>1.054</v>
      </c>
      <c r="G208" s="3">
        <v>5728</v>
      </c>
      <c r="H208" s="3">
        <v>455</v>
      </c>
      <c r="I208" s="3">
        <v>2609</v>
      </c>
      <c r="J208" s="3">
        <v>4699</v>
      </c>
      <c r="K208" s="3">
        <v>5975</v>
      </c>
      <c r="L208" s="3">
        <v>457</v>
      </c>
      <c r="M208" s="3">
        <v>2729</v>
      </c>
      <c r="N208" s="9">
        <f t="shared" si="48"/>
        <v>12.589010989010989</v>
      </c>
      <c r="O208" s="9">
        <f t="shared" si="49"/>
        <v>13.074398249452955</v>
      </c>
      <c r="P208" s="3">
        <f t="shared" si="45"/>
        <v>247</v>
      </c>
      <c r="Q208" s="3">
        <f t="shared" si="46"/>
        <v>2</v>
      </c>
      <c r="R208" s="3">
        <f t="shared" si="47"/>
        <v>120</v>
      </c>
      <c r="S208" s="9">
        <f t="shared" si="50"/>
        <v>0.48538726044196601</v>
      </c>
      <c r="T208" s="9">
        <f t="shared" si="51"/>
        <v>0.54285714285714282</v>
      </c>
      <c r="U208" s="9">
        <f t="shared" si="52"/>
        <v>10.4</v>
      </c>
      <c r="V208" s="4">
        <f t="shared" si="54"/>
        <v>0.10000000000000142</v>
      </c>
      <c r="W208" s="2">
        <f t="shared" si="55"/>
        <v>-4.0000000000000036E-3</v>
      </c>
    </row>
    <row r="209" spans="1:23">
      <c r="A209">
        <v>619</v>
      </c>
      <c r="B209" s="4">
        <f t="shared" si="53"/>
        <v>498.7060546875</v>
      </c>
      <c r="C209" s="4">
        <v>495</v>
      </c>
      <c r="D209" s="4">
        <v>47.5</v>
      </c>
      <c r="E209" s="4">
        <v>0.5</v>
      </c>
      <c r="F209" s="2">
        <v>1.056</v>
      </c>
      <c r="G209" s="3">
        <v>5724</v>
      </c>
      <c r="H209" s="3">
        <v>456</v>
      </c>
      <c r="I209" s="3">
        <v>2613</v>
      </c>
      <c r="J209" s="3">
        <v>4708</v>
      </c>
      <c r="K209" s="3">
        <v>5975</v>
      </c>
      <c r="L209" s="3">
        <v>457</v>
      </c>
      <c r="M209" s="3">
        <v>2729</v>
      </c>
      <c r="N209" s="9">
        <f t="shared" si="48"/>
        <v>12.552631578947368</v>
      </c>
      <c r="O209" s="9">
        <f t="shared" si="49"/>
        <v>13.074398249452955</v>
      </c>
      <c r="P209" s="3">
        <f t="shared" si="45"/>
        <v>251</v>
      </c>
      <c r="Q209" s="3">
        <f t="shared" si="46"/>
        <v>1</v>
      </c>
      <c r="R209" s="3">
        <f t="shared" si="47"/>
        <v>116</v>
      </c>
      <c r="S209" s="9">
        <f t="shared" si="50"/>
        <v>0.52176667050558656</v>
      </c>
      <c r="T209" s="9">
        <f t="shared" si="51"/>
        <v>0.55043859649122806</v>
      </c>
      <c r="U209" s="9">
        <f t="shared" si="52"/>
        <v>10.421052631578947</v>
      </c>
      <c r="V209" s="4">
        <f t="shared" si="54"/>
        <v>0</v>
      </c>
      <c r="W209" s="2">
        <f t="shared" si="55"/>
        <v>2.0000000000000018E-3</v>
      </c>
    </row>
    <row r="210" spans="1:23">
      <c r="A210">
        <v>620</v>
      </c>
      <c r="B210" s="4">
        <f t="shared" si="53"/>
        <v>499.51171875</v>
      </c>
      <c r="C210" s="4">
        <v>496</v>
      </c>
      <c r="D210" s="4">
        <v>47.6</v>
      </c>
      <c r="E210" s="4">
        <v>0.5</v>
      </c>
      <c r="F210" s="2">
        <v>1.0509999999999999</v>
      </c>
      <c r="G210" s="3">
        <v>5724</v>
      </c>
      <c r="H210" s="3">
        <v>457</v>
      </c>
      <c r="I210" s="3">
        <v>2619</v>
      </c>
      <c r="J210" s="3">
        <v>4713</v>
      </c>
      <c r="K210" s="3">
        <v>5975</v>
      </c>
      <c r="L210" s="3">
        <v>458</v>
      </c>
      <c r="M210" s="3">
        <v>2735</v>
      </c>
      <c r="N210" s="9">
        <f t="shared" si="48"/>
        <v>12.525164113785557</v>
      </c>
      <c r="O210" s="9">
        <f t="shared" si="49"/>
        <v>13.045851528384279</v>
      </c>
      <c r="P210" s="3">
        <f t="shared" si="45"/>
        <v>251</v>
      </c>
      <c r="Q210" s="3">
        <f t="shared" si="46"/>
        <v>1</v>
      </c>
      <c r="R210" s="3">
        <f t="shared" si="47"/>
        <v>116</v>
      </c>
      <c r="S210" s="9">
        <f t="shared" si="50"/>
        <v>0.52068741459872214</v>
      </c>
      <c r="T210" s="9">
        <f t="shared" si="51"/>
        <v>0.5492341356673961</v>
      </c>
      <c r="U210" s="9">
        <f t="shared" si="52"/>
        <v>10.420168067226891</v>
      </c>
      <c r="V210" s="4">
        <f t="shared" si="54"/>
        <v>0.10000000000000142</v>
      </c>
      <c r="W210" s="2">
        <f t="shared" si="55"/>
        <v>-5.0000000000001155E-3</v>
      </c>
    </row>
    <row r="211" spans="1:23">
      <c r="A211">
        <v>621</v>
      </c>
      <c r="B211" s="4">
        <f t="shared" si="53"/>
        <v>500.3173828125</v>
      </c>
      <c r="C211" s="4">
        <v>497</v>
      </c>
      <c r="D211" s="4">
        <v>47.7</v>
      </c>
      <c r="E211" s="4">
        <v>0.5</v>
      </c>
      <c r="F211" s="2">
        <v>1.0529999999999999</v>
      </c>
      <c r="G211" s="3">
        <v>5724</v>
      </c>
      <c r="H211" s="3">
        <v>458</v>
      </c>
      <c r="I211" s="3">
        <v>2624</v>
      </c>
      <c r="J211" s="3">
        <v>4730</v>
      </c>
      <c r="K211" s="3">
        <v>5975</v>
      </c>
      <c r="L211" s="3">
        <v>459</v>
      </c>
      <c r="M211" s="3">
        <v>2741</v>
      </c>
      <c r="N211" s="9">
        <f t="shared" si="48"/>
        <v>12.497816593886462</v>
      </c>
      <c r="O211" s="9">
        <f t="shared" si="49"/>
        <v>13.017429193899781</v>
      </c>
      <c r="P211" s="3">
        <f t="shared" si="45"/>
        <v>251</v>
      </c>
      <c r="Q211" s="3">
        <f t="shared" si="46"/>
        <v>1</v>
      </c>
      <c r="R211" s="3">
        <f t="shared" si="47"/>
        <v>117</v>
      </c>
      <c r="S211" s="9">
        <f t="shared" si="50"/>
        <v>0.51961260001331944</v>
      </c>
      <c r="T211" s="9">
        <f t="shared" si="51"/>
        <v>0.54803493449781659</v>
      </c>
      <c r="U211" s="9">
        <f t="shared" si="52"/>
        <v>10.419287211740041</v>
      </c>
      <c r="V211" s="4">
        <f t="shared" si="54"/>
        <v>0.10000000000000142</v>
      </c>
      <c r="W211" s="2">
        <f t="shared" si="55"/>
        <v>2.0000000000000018E-3</v>
      </c>
    </row>
    <row r="212" spans="1:23">
      <c r="A212">
        <v>622</v>
      </c>
      <c r="B212" s="4">
        <f t="shared" si="53"/>
        <v>501.123046875</v>
      </c>
      <c r="C212" s="4">
        <v>497</v>
      </c>
      <c r="D212" s="4">
        <v>47.8</v>
      </c>
      <c r="E212" s="4">
        <v>0.5</v>
      </c>
      <c r="F212" s="2">
        <v>1.0489999999999999</v>
      </c>
      <c r="G212" s="3">
        <v>5724</v>
      </c>
      <c r="H212" s="3">
        <v>458</v>
      </c>
      <c r="I212" s="3">
        <v>2628</v>
      </c>
      <c r="J212" s="3">
        <v>4737</v>
      </c>
      <c r="K212" s="3">
        <v>5975</v>
      </c>
      <c r="L212" s="3">
        <v>460</v>
      </c>
      <c r="M212" s="3">
        <v>2747</v>
      </c>
      <c r="N212" s="9">
        <f t="shared" si="48"/>
        <v>12.497816593886462</v>
      </c>
      <c r="O212" s="9">
        <f t="shared" si="49"/>
        <v>12.989130434782609</v>
      </c>
      <c r="P212" s="3">
        <f t="shared" si="45"/>
        <v>251</v>
      </c>
      <c r="Q212" s="3">
        <f t="shared" si="46"/>
        <v>2</v>
      </c>
      <c r="R212" s="3">
        <f t="shared" si="47"/>
        <v>119</v>
      </c>
      <c r="S212" s="9">
        <f t="shared" si="50"/>
        <v>0.49131384089614727</v>
      </c>
      <c r="T212" s="9">
        <f t="shared" si="51"/>
        <v>0.54803493449781659</v>
      </c>
      <c r="U212" s="9">
        <f t="shared" si="52"/>
        <v>10.397489539748955</v>
      </c>
      <c r="V212" s="4">
        <f t="shared" si="54"/>
        <v>9.9999999999994316E-2</v>
      </c>
      <c r="W212" s="2">
        <f t="shared" si="55"/>
        <v>-4.0000000000000036E-3</v>
      </c>
    </row>
    <row r="213" spans="1:23">
      <c r="A213">
        <v>623</v>
      </c>
      <c r="B213" s="4">
        <f t="shared" si="53"/>
        <v>501.9287109375</v>
      </c>
      <c r="C213" s="4">
        <v>498</v>
      </c>
      <c r="D213" s="4">
        <v>47.9</v>
      </c>
      <c r="E213" s="4">
        <v>0.5</v>
      </c>
      <c r="F213" s="2">
        <v>1.05</v>
      </c>
      <c r="G213" s="3">
        <v>5724</v>
      </c>
      <c r="H213" s="3">
        <v>459</v>
      </c>
      <c r="I213" s="3">
        <v>2634</v>
      </c>
      <c r="J213" s="3">
        <v>4746</v>
      </c>
      <c r="K213" s="3">
        <v>5975</v>
      </c>
      <c r="L213" s="3">
        <v>460</v>
      </c>
      <c r="M213" s="3">
        <v>2747</v>
      </c>
      <c r="N213" s="9">
        <f t="shared" si="48"/>
        <v>12.470588235294118</v>
      </c>
      <c r="O213" s="9">
        <f t="shared" si="49"/>
        <v>12.989130434782609</v>
      </c>
      <c r="P213" s="3">
        <f t="shared" si="45"/>
        <v>251</v>
      </c>
      <c r="Q213" s="3">
        <f t="shared" si="46"/>
        <v>1</v>
      </c>
      <c r="R213" s="3">
        <f t="shared" si="47"/>
        <v>113</v>
      </c>
      <c r="S213" s="9">
        <f t="shared" si="50"/>
        <v>0.51854219948849156</v>
      </c>
      <c r="T213" s="9">
        <f t="shared" si="51"/>
        <v>0.54684095860566451</v>
      </c>
      <c r="U213" s="9">
        <f t="shared" si="52"/>
        <v>10.396659707724426</v>
      </c>
      <c r="V213" s="4">
        <f t="shared" si="54"/>
        <v>0.10000000000000142</v>
      </c>
      <c r="W213" s="2">
        <f t="shared" si="55"/>
        <v>1.0000000000001119E-3</v>
      </c>
    </row>
    <row r="214" spans="1:23">
      <c r="A214">
        <v>624</v>
      </c>
      <c r="B214" s="4">
        <f t="shared" si="53"/>
        <v>502.734375</v>
      </c>
      <c r="C214" s="4">
        <v>499</v>
      </c>
      <c r="D214" s="4">
        <v>48</v>
      </c>
      <c r="E214" s="4">
        <v>0.5</v>
      </c>
      <c r="F214" s="2">
        <v>1.0449999999999999</v>
      </c>
      <c r="G214" s="3">
        <v>5724</v>
      </c>
      <c r="H214" s="3">
        <v>460</v>
      </c>
      <c r="I214" s="3">
        <v>2637</v>
      </c>
      <c r="J214" s="3">
        <v>4747</v>
      </c>
      <c r="K214" s="3">
        <v>5975</v>
      </c>
      <c r="L214" s="3">
        <v>461</v>
      </c>
      <c r="M214" s="3">
        <v>2753</v>
      </c>
      <c r="N214" s="9">
        <f t="shared" si="48"/>
        <v>12.443478260869565</v>
      </c>
      <c r="O214" s="9">
        <f t="shared" si="49"/>
        <v>12.960954446854664</v>
      </c>
      <c r="P214" s="3">
        <f t="shared" si="45"/>
        <v>251</v>
      </c>
      <c r="Q214" s="3">
        <f t="shared" si="46"/>
        <v>1</v>
      </c>
      <c r="R214" s="3">
        <f t="shared" si="47"/>
        <v>116</v>
      </c>
      <c r="S214" s="9">
        <f t="shared" si="50"/>
        <v>0.51747618598509959</v>
      </c>
      <c r="T214" s="9">
        <f t="shared" si="51"/>
        <v>0.54565217391304344</v>
      </c>
      <c r="U214" s="9">
        <f t="shared" si="52"/>
        <v>10.395833333333334</v>
      </c>
      <c r="V214" s="4">
        <f t="shared" si="54"/>
        <v>0.10000000000000142</v>
      </c>
      <c r="W214" s="2">
        <f t="shared" si="55"/>
        <v>-5.0000000000001155E-3</v>
      </c>
    </row>
    <row r="215" spans="1:23">
      <c r="A215">
        <v>625</v>
      </c>
      <c r="B215" s="4">
        <f t="shared" si="53"/>
        <v>503.5400390625</v>
      </c>
      <c r="C215" s="4">
        <v>500</v>
      </c>
      <c r="D215" s="4">
        <v>48</v>
      </c>
      <c r="E215" s="4">
        <v>0.5</v>
      </c>
      <c r="F215" s="2">
        <v>1.046</v>
      </c>
      <c r="G215" s="3">
        <v>5724</v>
      </c>
      <c r="H215" s="3">
        <v>461</v>
      </c>
      <c r="I215" s="3">
        <v>2641</v>
      </c>
      <c r="J215" s="3">
        <v>4757</v>
      </c>
      <c r="K215" s="3">
        <v>5975</v>
      </c>
      <c r="L215" s="3">
        <v>462</v>
      </c>
      <c r="M215" s="3">
        <v>2759</v>
      </c>
      <c r="N215" s="9">
        <f t="shared" si="48"/>
        <v>12.416485900216919</v>
      </c>
      <c r="O215" s="9">
        <f t="shared" si="49"/>
        <v>12.932900432900434</v>
      </c>
      <c r="P215" s="3">
        <f t="shared" si="45"/>
        <v>251</v>
      </c>
      <c r="Q215" s="3">
        <f t="shared" si="46"/>
        <v>1</v>
      </c>
      <c r="R215" s="3">
        <f t="shared" si="47"/>
        <v>118</v>
      </c>
      <c r="S215" s="9">
        <f t="shared" si="50"/>
        <v>0.51641453268351434</v>
      </c>
      <c r="T215" s="9">
        <f t="shared" si="51"/>
        <v>0.54446854663774402</v>
      </c>
      <c r="U215" s="9">
        <f t="shared" si="52"/>
        <v>10.416666666666666</v>
      </c>
      <c r="V215" s="4">
        <f t="shared" si="54"/>
        <v>0</v>
      </c>
      <c r="W215" s="2">
        <f t="shared" si="55"/>
        <v>1.0000000000001119E-3</v>
      </c>
    </row>
    <row r="216" spans="1:23">
      <c r="A216">
        <v>626</v>
      </c>
      <c r="B216" s="4">
        <f t="shared" si="53"/>
        <v>504.345703125</v>
      </c>
      <c r="C216" s="4">
        <v>501</v>
      </c>
      <c r="D216" s="4">
        <v>48.1</v>
      </c>
      <c r="E216" s="4">
        <v>0.5</v>
      </c>
      <c r="F216" s="2">
        <v>1.038</v>
      </c>
      <c r="G216" s="3">
        <v>5720</v>
      </c>
      <c r="H216" s="3">
        <v>462</v>
      </c>
      <c r="I216" s="3">
        <v>2646</v>
      </c>
      <c r="J216" s="3">
        <v>4764</v>
      </c>
      <c r="K216" s="3">
        <v>5975</v>
      </c>
      <c r="L216" s="3">
        <v>463</v>
      </c>
      <c r="M216" s="3">
        <v>2764</v>
      </c>
      <c r="N216" s="9">
        <f t="shared" si="48"/>
        <v>12.380952380952381</v>
      </c>
      <c r="O216" s="9">
        <f t="shared" si="49"/>
        <v>12.904967602591793</v>
      </c>
      <c r="P216" s="3">
        <f t="shared" si="45"/>
        <v>255</v>
      </c>
      <c r="Q216" s="3">
        <f t="shared" si="46"/>
        <v>1</v>
      </c>
      <c r="R216" s="3">
        <f t="shared" si="47"/>
        <v>118</v>
      </c>
      <c r="S216" s="9">
        <f t="shared" si="50"/>
        <v>0.52401522163941117</v>
      </c>
      <c r="T216" s="9">
        <f t="shared" si="51"/>
        <v>0.55194805194805197</v>
      </c>
      <c r="U216" s="9">
        <f t="shared" si="52"/>
        <v>10.415800415800415</v>
      </c>
      <c r="V216" s="4">
        <f t="shared" si="54"/>
        <v>0.10000000000000142</v>
      </c>
      <c r="W216" s="2">
        <f t="shared" si="55"/>
        <v>-8.0000000000000071E-3</v>
      </c>
    </row>
    <row r="217" spans="1:23">
      <c r="A217">
        <v>627</v>
      </c>
      <c r="B217" s="4">
        <f t="shared" si="53"/>
        <v>505.1513671875</v>
      </c>
      <c r="C217" s="4">
        <v>501</v>
      </c>
      <c r="D217" s="4">
        <v>48.2</v>
      </c>
      <c r="E217" s="4">
        <v>0.5</v>
      </c>
      <c r="F217" s="2">
        <v>1.036</v>
      </c>
      <c r="G217" s="3">
        <v>5720</v>
      </c>
      <c r="H217" s="3">
        <v>462</v>
      </c>
      <c r="I217" s="3">
        <v>2650</v>
      </c>
      <c r="J217" s="3">
        <v>4774</v>
      </c>
      <c r="K217" s="3">
        <v>5975</v>
      </c>
      <c r="L217" s="3">
        <v>463</v>
      </c>
      <c r="M217" s="3">
        <v>2764</v>
      </c>
      <c r="N217" s="9">
        <f t="shared" si="48"/>
        <v>12.380952380952381</v>
      </c>
      <c r="O217" s="9">
        <f t="shared" si="49"/>
        <v>12.904967602591793</v>
      </c>
      <c r="P217" s="3">
        <f t="shared" si="45"/>
        <v>255</v>
      </c>
      <c r="Q217" s="3">
        <f t="shared" si="46"/>
        <v>1</v>
      </c>
      <c r="R217" s="3">
        <f t="shared" si="47"/>
        <v>114</v>
      </c>
      <c r="S217" s="9">
        <f t="shared" si="50"/>
        <v>0.52401522163941117</v>
      </c>
      <c r="T217" s="9">
        <f t="shared" si="51"/>
        <v>0.55194805194805197</v>
      </c>
      <c r="U217" s="9">
        <f t="shared" si="52"/>
        <v>10.394190871369293</v>
      </c>
      <c r="V217" s="4">
        <f t="shared" si="54"/>
        <v>0.10000000000000142</v>
      </c>
      <c r="W217" s="2">
        <f t="shared" si="55"/>
        <v>-2.0000000000000018E-3</v>
      </c>
    </row>
    <row r="218" spans="1:23">
      <c r="A218">
        <v>628</v>
      </c>
      <c r="B218" s="4">
        <f t="shared" si="53"/>
        <v>505.95703125</v>
      </c>
      <c r="C218" s="4">
        <v>502</v>
      </c>
      <c r="D218" s="4">
        <v>48.3</v>
      </c>
      <c r="E218" s="4">
        <v>0.5</v>
      </c>
      <c r="F218" s="2">
        <v>1.0309999999999999</v>
      </c>
      <c r="G218" s="3">
        <v>5720</v>
      </c>
      <c r="H218" s="3">
        <v>463</v>
      </c>
      <c r="I218" s="3">
        <v>2653</v>
      </c>
      <c r="J218" s="3">
        <v>4776</v>
      </c>
      <c r="K218" s="3">
        <v>5975</v>
      </c>
      <c r="L218" s="3">
        <v>464</v>
      </c>
      <c r="M218" s="3">
        <v>2770</v>
      </c>
      <c r="N218" s="9">
        <f t="shared" si="48"/>
        <v>12.354211663066955</v>
      </c>
      <c r="O218" s="9">
        <f t="shared" si="49"/>
        <v>12.877155172413794</v>
      </c>
      <c r="P218" s="3">
        <f t="shared" si="45"/>
        <v>255</v>
      </c>
      <c r="Q218" s="3">
        <f t="shared" si="46"/>
        <v>1</v>
      </c>
      <c r="R218" s="3">
        <f t="shared" si="47"/>
        <v>117</v>
      </c>
      <c r="S218" s="9">
        <f t="shared" si="50"/>
        <v>0.5229435093468382</v>
      </c>
      <c r="T218" s="9">
        <f t="shared" si="51"/>
        <v>0.55075593952483803</v>
      </c>
      <c r="U218" s="9">
        <f t="shared" si="52"/>
        <v>10.393374741200828</v>
      </c>
      <c r="V218" s="4">
        <f t="shared" si="54"/>
        <v>9.9999999999994316E-2</v>
      </c>
      <c r="W218" s="2">
        <f t="shared" si="55"/>
        <v>-5.0000000000001155E-3</v>
      </c>
    </row>
    <row r="219" spans="1:23">
      <c r="A219">
        <v>629</v>
      </c>
      <c r="B219" s="4">
        <f t="shared" si="53"/>
        <v>506.7626953125</v>
      </c>
      <c r="C219" s="4">
        <v>503</v>
      </c>
      <c r="D219" s="4">
        <v>48.4</v>
      </c>
      <c r="E219" s="4">
        <v>0.5</v>
      </c>
      <c r="F219" s="2">
        <v>1.0289999999999999</v>
      </c>
      <c r="G219" s="3">
        <v>5724</v>
      </c>
      <c r="H219" s="3">
        <v>464</v>
      </c>
      <c r="I219" s="3">
        <v>2657</v>
      </c>
      <c r="J219" s="3">
        <v>4786</v>
      </c>
      <c r="K219" s="3">
        <v>5975</v>
      </c>
      <c r="L219" s="3">
        <v>465</v>
      </c>
      <c r="M219" s="3">
        <v>2776</v>
      </c>
      <c r="N219" s="9">
        <f t="shared" si="48"/>
        <v>12.336206896551724</v>
      </c>
      <c r="O219" s="9">
        <f t="shared" si="49"/>
        <v>12.849462365591398</v>
      </c>
      <c r="P219" s="3">
        <f t="shared" si="45"/>
        <v>251</v>
      </c>
      <c r="Q219" s="3">
        <f t="shared" si="46"/>
        <v>1</v>
      </c>
      <c r="R219" s="3">
        <f t="shared" si="47"/>
        <v>119</v>
      </c>
      <c r="S219" s="9">
        <f t="shared" si="50"/>
        <v>0.51325546903967378</v>
      </c>
      <c r="T219" s="9">
        <f t="shared" si="51"/>
        <v>0.54094827586206895</v>
      </c>
      <c r="U219" s="9">
        <f t="shared" si="52"/>
        <v>10.392561983471074</v>
      </c>
      <c r="V219" s="4">
        <f t="shared" si="54"/>
        <v>0.10000000000000142</v>
      </c>
      <c r="W219" s="2">
        <f t="shared" si="55"/>
        <v>-2.0000000000000018E-3</v>
      </c>
    </row>
    <row r="220" spans="1:23">
      <c r="A220">
        <v>630</v>
      </c>
      <c r="B220" s="4">
        <f t="shared" si="53"/>
        <v>507.568359375</v>
      </c>
      <c r="C220" s="4">
        <v>504</v>
      </c>
      <c r="D220" s="4">
        <v>48.4</v>
      </c>
      <c r="E220" s="4">
        <v>0.5</v>
      </c>
      <c r="F220" s="2">
        <v>1.024</v>
      </c>
      <c r="G220" s="3">
        <v>5720</v>
      </c>
      <c r="H220" s="3">
        <v>465</v>
      </c>
      <c r="I220" s="3">
        <v>2662</v>
      </c>
      <c r="J220" s="3">
        <v>4793</v>
      </c>
      <c r="K220" s="3">
        <v>5975</v>
      </c>
      <c r="L220" s="3">
        <v>466</v>
      </c>
      <c r="M220" s="3">
        <v>2782</v>
      </c>
      <c r="N220" s="9">
        <f t="shared" si="48"/>
        <v>12.301075268817204</v>
      </c>
      <c r="O220" s="9">
        <f t="shared" si="49"/>
        <v>12.821888412017167</v>
      </c>
      <c r="P220" s="3">
        <f t="shared" si="45"/>
        <v>255</v>
      </c>
      <c r="Q220" s="3">
        <f t="shared" si="46"/>
        <v>1</v>
      </c>
      <c r="R220" s="3">
        <f t="shared" si="47"/>
        <v>120</v>
      </c>
      <c r="S220" s="9">
        <f t="shared" si="50"/>
        <v>0.52081314319996252</v>
      </c>
      <c r="T220" s="9">
        <f t="shared" si="51"/>
        <v>0.54838709677419351</v>
      </c>
      <c r="U220" s="9">
        <f t="shared" si="52"/>
        <v>10.413223140495868</v>
      </c>
      <c r="V220" s="4">
        <f t="shared" si="54"/>
        <v>0</v>
      </c>
      <c r="W220" s="2">
        <f t="shared" si="55"/>
        <v>-4.9999999999998934E-3</v>
      </c>
    </row>
    <row r="221" spans="1:23">
      <c r="A221">
        <v>631</v>
      </c>
      <c r="B221" s="4">
        <f t="shared" si="53"/>
        <v>508.3740234375</v>
      </c>
      <c r="C221" s="4">
        <v>504</v>
      </c>
      <c r="D221" s="4">
        <v>48.5</v>
      </c>
      <c r="E221" s="4">
        <v>0.5</v>
      </c>
      <c r="F221" s="2">
        <v>1.0249999999999999</v>
      </c>
      <c r="G221" s="3">
        <v>5720</v>
      </c>
      <c r="H221" s="3">
        <v>465</v>
      </c>
      <c r="I221" s="3">
        <v>2666</v>
      </c>
      <c r="J221" s="3">
        <v>4804</v>
      </c>
      <c r="K221" s="3">
        <v>5975</v>
      </c>
      <c r="L221" s="3">
        <v>466</v>
      </c>
      <c r="M221" s="3">
        <v>2782</v>
      </c>
      <c r="N221" s="9">
        <f t="shared" si="48"/>
        <v>12.301075268817204</v>
      </c>
      <c r="O221" s="9">
        <f t="shared" si="49"/>
        <v>12.821888412017167</v>
      </c>
      <c r="P221" s="3">
        <f t="shared" si="45"/>
        <v>255</v>
      </c>
      <c r="Q221" s="3">
        <f t="shared" si="46"/>
        <v>1</v>
      </c>
      <c r="R221" s="3">
        <f t="shared" si="47"/>
        <v>116</v>
      </c>
      <c r="S221" s="9">
        <f t="shared" si="50"/>
        <v>0.52081314319996252</v>
      </c>
      <c r="T221" s="9">
        <f t="shared" si="51"/>
        <v>0.54838709677419351</v>
      </c>
      <c r="U221" s="9">
        <f t="shared" si="52"/>
        <v>10.391752577319588</v>
      </c>
      <c r="V221" s="4">
        <f t="shared" si="54"/>
        <v>0.10000000000000142</v>
      </c>
      <c r="W221" s="2">
        <f t="shared" si="55"/>
        <v>9.9999999999988987E-4</v>
      </c>
    </row>
    <row r="222" spans="1:23">
      <c r="A222">
        <v>632</v>
      </c>
      <c r="B222" s="4">
        <f t="shared" si="53"/>
        <v>509.1796875</v>
      </c>
      <c r="C222" s="4">
        <v>505</v>
      </c>
      <c r="D222" s="4">
        <v>48.6</v>
      </c>
      <c r="E222" s="4">
        <v>0.5</v>
      </c>
      <c r="F222" s="2">
        <v>1.0289999999999999</v>
      </c>
      <c r="G222" s="3">
        <v>5720</v>
      </c>
      <c r="H222" s="3">
        <v>466</v>
      </c>
      <c r="I222" s="3">
        <v>2669</v>
      </c>
      <c r="J222" s="3">
        <v>4810</v>
      </c>
      <c r="K222" s="3">
        <v>5975</v>
      </c>
      <c r="L222" s="3">
        <v>467</v>
      </c>
      <c r="M222" s="3">
        <v>2788</v>
      </c>
      <c r="N222" s="9">
        <f t="shared" si="48"/>
        <v>12.274678111587983</v>
      </c>
      <c r="O222" s="9">
        <f t="shared" si="49"/>
        <v>12.794432548179872</v>
      </c>
      <c r="P222" s="3">
        <f t="shared" ref="P222:P241" si="56">(K222-G222)</f>
        <v>255</v>
      </c>
      <c r="Q222" s="3">
        <f t="shared" ref="Q222:Q241" si="57">(L222-H222)</f>
        <v>1</v>
      </c>
      <c r="R222" s="3">
        <f t="shared" ref="R222:R241" si="58">(M222-I222)</f>
        <v>119</v>
      </c>
      <c r="S222" s="9">
        <f t="shared" si="50"/>
        <v>0.51975443659188869</v>
      </c>
      <c r="T222" s="9">
        <f t="shared" si="51"/>
        <v>0.5472103004291845</v>
      </c>
      <c r="U222" s="9">
        <f t="shared" si="52"/>
        <v>10.390946502057613</v>
      </c>
      <c r="V222" s="4">
        <f t="shared" si="54"/>
        <v>0.10000000000000142</v>
      </c>
      <c r="W222" s="2">
        <f t="shared" si="55"/>
        <v>4.0000000000000036E-3</v>
      </c>
    </row>
    <row r="223" spans="1:23">
      <c r="A223">
        <v>633</v>
      </c>
      <c r="B223" s="4">
        <f t="shared" si="53"/>
        <v>509.9853515625</v>
      </c>
      <c r="C223" s="4">
        <v>506</v>
      </c>
      <c r="D223" s="4">
        <v>48.7</v>
      </c>
      <c r="E223" s="4">
        <v>0.5</v>
      </c>
      <c r="F223" s="2">
        <v>1.0329999999999999</v>
      </c>
      <c r="G223" s="3">
        <v>5720</v>
      </c>
      <c r="H223" s="3">
        <v>467</v>
      </c>
      <c r="I223" s="3">
        <v>2674</v>
      </c>
      <c r="J223" s="3">
        <v>4818</v>
      </c>
      <c r="K223" s="3">
        <v>5975</v>
      </c>
      <c r="L223" s="3">
        <v>468</v>
      </c>
      <c r="M223" s="3">
        <v>2794</v>
      </c>
      <c r="N223" s="9">
        <f t="shared" si="48"/>
        <v>12.248394004282655</v>
      </c>
      <c r="O223" s="9">
        <f t="shared" si="49"/>
        <v>12.767094017094017</v>
      </c>
      <c r="P223" s="3">
        <f t="shared" si="56"/>
        <v>255</v>
      </c>
      <c r="Q223" s="3">
        <f t="shared" si="57"/>
        <v>1</v>
      </c>
      <c r="R223" s="3">
        <f t="shared" si="58"/>
        <v>120</v>
      </c>
      <c r="S223" s="9">
        <f t="shared" si="50"/>
        <v>0.51870001281136169</v>
      </c>
      <c r="T223" s="9">
        <f t="shared" si="51"/>
        <v>0.54603854389721629</v>
      </c>
      <c r="U223" s="9">
        <f t="shared" si="52"/>
        <v>10.390143737166325</v>
      </c>
      <c r="V223" s="4">
        <f t="shared" si="54"/>
        <v>0.10000000000000142</v>
      </c>
      <c r="W223" s="2">
        <f t="shared" si="55"/>
        <v>4.0000000000000036E-3</v>
      </c>
    </row>
    <row r="224" spans="1:23">
      <c r="A224">
        <v>634</v>
      </c>
      <c r="B224" s="4">
        <f t="shared" si="53"/>
        <v>510.791015625</v>
      </c>
      <c r="C224" s="4">
        <v>507</v>
      </c>
      <c r="D224" s="4">
        <v>48.7</v>
      </c>
      <c r="E224" s="4">
        <v>0.5</v>
      </c>
      <c r="F224" s="2">
        <v>1.0389999999999999</v>
      </c>
      <c r="G224" s="3">
        <v>5720</v>
      </c>
      <c r="H224" s="3">
        <v>468</v>
      </c>
      <c r="I224" s="3">
        <v>2679</v>
      </c>
      <c r="J224" s="3">
        <v>4824</v>
      </c>
      <c r="K224" s="3">
        <v>5975</v>
      </c>
      <c r="L224" s="3">
        <v>469</v>
      </c>
      <c r="M224" s="3">
        <v>2800</v>
      </c>
      <c r="N224" s="9">
        <f t="shared" si="48"/>
        <v>12.222222222222221</v>
      </c>
      <c r="O224" s="9">
        <f t="shared" si="49"/>
        <v>12.739872068230277</v>
      </c>
      <c r="P224" s="3">
        <f t="shared" si="56"/>
        <v>255</v>
      </c>
      <c r="Q224" s="3">
        <f t="shared" si="57"/>
        <v>1</v>
      </c>
      <c r="R224" s="3">
        <f t="shared" si="58"/>
        <v>121</v>
      </c>
      <c r="S224" s="9">
        <f t="shared" si="50"/>
        <v>0.51764984600805519</v>
      </c>
      <c r="T224" s="9">
        <f t="shared" si="51"/>
        <v>0.54487179487179482</v>
      </c>
      <c r="U224" s="9">
        <f t="shared" si="52"/>
        <v>10.410677618069814</v>
      </c>
      <c r="V224" s="4">
        <f t="shared" si="54"/>
        <v>0</v>
      </c>
      <c r="W224" s="2">
        <f t="shared" si="55"/>
        <v>6.0000000000000053E-3</v>
      </c>
    </row>
    <row r="225" spans="1:23">
      <c r="A225">
        <v>635</v>
      </c>
      <c r="B225" s="4">
        <f t="shared" si="53"/>
        <v>511.5966796875</v>
      </c>
      <c r="C225" s="4">
        <v>508</v>
      </c>
      <c r="D225" s="4">
        <v>48.8</v>
      </c>
      <c r="E225" s="4">
        <v>0.5</v>
      </c>
      <c r="F225" s="2">
        <v>1.0509999999999999</v>
      </c>
      <c r="G225" s="3">
        <v>5720</v>
      </c>
      <c r="H225" s="3">
        <v>469</v>
      </c>
      <c r="I225" s="3">
        <v>2684</v>
      </c>
      <c r="J225" s="3">
        <v>4831</v>
      </c>
      <c r="K225" s="3">
        <v>5975</v>
      </c>
      <c r="L225" s="3">
        <v>470</v>
      </c>
      <c r="M225" s="3">
        <v>2806</v>
      </c>
      <c r="N225" s="9">
        <f t="shared" si="48"/>
        <v>12.196162046908315</v>
      </c>
      <c r="O225" s="9">
        <f t="shared" si="49"/>
        <v>12.712765957446809</v>
      </c>
      <c r="P225" s="3">
        <f t="shared" si="56"/>
        <v>255</v>
      </c>
      <c r="Q225" s="3">
        <f t="shared" si="57"/>
        <v>1</v>
      </c>
      <c r="R225" s="3">
        <f t="shared" si="58"/>
        <v>122</v>
      </c>
      <c r="S225" s="9">
        <f t="shared" si="50"/>
        <v>0.5166039105384943</v>
      </c>
      <c r="T225" s="9">
        <f t="shared" si="51"/>
        <v>0.54371002132196167</v>
      </c>
      <c r="U225" s="9">
        <f t="shared" si="52"/>
        <v>10.409836065573771</v>
      </c>
      <c r="V225" s="4">
        <f t="shared" si="54"/>
        <v>9.9999999999994316E-2</v>
      </c>
      <c r="W225" s="2">
        <f t="shared" si="55"/>
        <v>1.2000000000000011E-2</v>
      </c>
    </row>
    <row r="226" spans="1:23">
      <c r="A226">
        <v>636</v>
      </c>
      <c r="B226" s="4">
        <f t="shared" si="53"/>
        <v>512.40234375</v>
      </c>
      <c r="C226" s="4">
        <v>508</v>
      </c>
      <c r="D226" s="4">
        <v>48.9</v>
      </c>
      <c r="E226" s="4">
        <v>0.5</v>
      </c>
      <c r="F226" s="2">
        <v>1.0680000000000001</v>
      </c>
      <c r="G226" s="3">
        <v>5716</v>
      </c>
      <c r="H226" s="3">
        <v>469</v>
      </c>
      <c r="I226" s="3">
        <v>2687</v>
      </c>
      <c r="J226" s="3">
        <v>4842</v>
      </c>
      <c r="K226" s="3">
        <v>5975</v>
      </c>
      <c r="L226" s="3">
        <v>470</v>
      </c>
      <c r="M226" s="3">
        <v>2806</v>
      </c>
      <c r="N226" s="9">
        <f t="shared" si="48"/>
        <v>12.187633262260128</v>
      </c>
      <c r="O226" s="9">
        <f t="shared" si="49"/>
        <v>12.712765957446809</v>
      </c>
      <c r="P226" s="3">
        <f t="shared" si="56"/>
        <v>259</v>
      </c>
      <c r="Q226" s="3">
        <f t="shared" si="57"/>
        <v>1</v>
      </c>
      <c r="R226" s="3">
        <f t="shared" si="58"/>
        <v>119</v>
      </c>
      <c r="S226" s="9">
        <f t="shared" si="50"/>
        <v>0.52513269518668082</v>
      </c>
      <c r="T226" s="9">
        <f t="shared" si="51"/>
        <v>0.55223880597014929</v>
      </c>
      <c r="U226" s="9">
        <f t="shared" si="52"/>
        <v>10.388548057259714</v>
      </c>
      <c r="V226" s="4">
        <f t="shared" si="54"/>
        <v>0.10000000000000142</v>
      </c>
      <c r="W226" s="2">
        <f t="shared" si="55"/>
        <v>1.7000000000000126E-2</v>
      </c>
    </row>
    <row r="227" spans="1:23">
      <c r="A227">
        <v>637</v>
      </c>
      <c r="B227" s="4">
        <f t="shared" si="53"/>
        <v>513.2080078125</v>
      </c>
      <c r="C227" s="4">
        <v>510</v>
      </c>
      <c r="D227" s="4">
        <v>49</v>
      </c>
      <c r="E227" s="4">
        <v>0.5</v>
      </c>
      <c r="F227" s="2">
        <v>1.105</v>
      </c>
      <c r="G227" s="3">
        <v>5716</v>
      </c>
      <c r="H227" s="3">
        <v>470</v>
      </c>
      <c r="I227" s="3">
        <v>2691</v>
      </c>
      <c r="J227" s="3">
        <v>4853</v>
      </c>
      <c r="K227" s="3">
        <v>5975</v>
      </c>
      <c r="L227" s="3">
        <v>471</v>
      </c>
      <c r="M227" s="3">
        <v>2812</v>
      </c>
      <c r="N227" s="9">
        <f t="shared" si="48"/>
        <v>12.161702127659574</v>
      </c>
      <c r="O227" s="9">
        <f t="shared" si="49"/>
        <v>12.685774946921443</v>
      </c>
      <c r="P227" s="3">
        <f t="shared" si="56"/>
        <v>259</v>
      </c>
      <c r="Q227" s="3">
        <f t="shared" si="57"/>
        <v>1</v>
      </c>
      <c r="R227" s="3">
        <f t="shared" si="58"/>
        <v>121</v>
      </c>
      <c r="S227" s="9">
        <f t="shared" si="50"/>
        <v>0.52407281926186933</v>
      </c>
      <c r="T227" s="9">
        <f t="shared" si="51"/>
        <v>0.55106382978723401</v>
      </c>
      <c r="U227" s="9">
        <f t="shared" si="52"/>
        <v>10.408163265306122</v>
      </c>
      <c r="V227" s="4">
        <f t="shared" si="54"/>
        <v>0.10000000000000142</v>
      </c>
      <c r="W227" s="2">
        <f t="shared" si="55"/>
        <v>3.6999999999999922E-2</v>
      </c>
    </row>
    <row r="228" spans="1:23">
      <c r="A228">
        <v>638</v>
      </c>
      <c r="B228" s="4">
        <f t="shared" si="53"/>
        <v>514.013671875</v>
      </c>
      <c r="C228" s="4">
        <v>510</v>
      </c>
      <c r="D228" s="4">
        <v>49.1</v>
      </c>
      <c r="E228" s="4">
        <v>0.5</v>
      </c>
      <c r="F228" s="2">
        <v>1.21</v>
      </c>
      <c r="G228" s="3">
        <v>5716</v>
      </c>
      <c r="H228" s="3">
        <v>471</v>
      </c>
      <c r="I228" s="3">
        <v>2696</v>
      </c>
      <c r="J228" s="3">
        <v>4862</v>
      </c>
      <c r="K228" s="3">
        <v>5975</v>
      </c>
      <c r="L228" s="3">
        <v>472</v>
      </c>
      <c r="M228" s="3">
        <v>2818</v>
      </c>
      <c r="N228" s="9">
        <f t="shared" si="48"/>
        <v>12.13588110403397</v>
      </c>
      <c r="O228" s="9">
        <f t="shared" si="49"/>
        <v>12.658898305084746</v>
      </c>
      <c r="P228" s="3">
        <f t="shared" si="56"/>
        <v>259</v>
      </c>
      <c r="Q228" s="3">
        <f t="shared" si="57"/>
        <v>1</v>
      </c>
      <c r="R228" s="3">
        <f t="shared" si="58"/>
        <v>122</v>
      </c>
      <c r="S228" s="9">
        <f t="shared" si="50"/>
        <v>0.52301720105077543</v>
      </c>
      <c r="T228" s="9">
        <f t="shared" si="51"/>
        <v>0.54989384288747345</v>
      </c>
      <c r="U228" s="9">
        <f t="shared" si="52"/>
        <v>10.386965376782078</v>
      </c>
      <c r="V228" s="4">
        <f t="shared" si="54"/>
        <v>0.10000000000000142</v>
      </c>
      <c r="W228" s="2">
        <f t="shared" si="55"/>
        <v>0.10499999999999998</v>
      </c>
    </row>
    <row r="229" spans="1:23">
      <c r="A229">
        <v>639</v>
      </c>
      <c r="B229" s="4">
        <f t="shared" si="53"/>
        <v>514.8193359375</v>
      </c>
      <c r="C229" s="4">
        <v>511</v>
      </c>
      <c r="D229" s="4">
        <v>49.1</v>
      </c>
      <c r="E229" s="4">
        <v>0.5</v>
      </c>
      <c r="F229" s="2">
        <v>3.28</v>
      </c>
      <c r="G229" s="3">
        <v>5716</v>
      </c>
      <c r="H229" s="3">
        <v>472</v>
      </c>
      <c r="I229" s="3">
        <v>2700</v>
      </c>
      <c r="J229" s="3">
        <v>4866</v>
      </c>
      <c r="K229" s="3">
        <v>5975</v>
      </c>
      <c r="L229" s="3">
        <v>473</v>
      </c>
      <c r="M229" s="3">
        <v>2824</v>
      </c>
      <c r="N229" s="9">
        <f t="shared" si="48"/>
        <v>12.110169491525424</v>
      </c>
      <c r="O229" s="9">
        <f t="shared" si="49"/>
        <v>12.632135306553911</v>
      </c>
      <c r="P229" s="3">
        <f t="shared" si="56"/>
        <v>259</v>
      </c>
      <c r="Q229" s="3">
        <f t="shared" si="57"/>
        <v>1</v>
      </c>
      <c r="R229" s="3">
        <f t="shared" si="58"/>
        <v>124</v>
      </c>
      <c r="S229" s="9">
        <f t="shared" si="50"/>
        <v>0.52196581502848716</v>
      </c>
      <c r="T229" s="9">
        <f t="shared" si="51"/>
        <v>0.54872881355932202</v>
      </c>
      <c r="U229" s="9">
        <f t="shared" si="52"/>
        <v>10.407331975560082</v>
      </c>
      <c r="V229" s="4">
        <f t="shared" si="54"/>
        <v>0</v>
      </c>
      <c r="W229" s="2">
        <f t="shared" si="55"/>
        <v>2.0699999999999998</v>
      </c>
    </row>
    <row r="230" spans="1:23">
      <c r="A230">
        <v>640</v>
      </c>
      <c r="B230" s="4">
        <f t="shared" si="53"/>
        <v>515.625</v>
      </c>
      <c r="C230" s="4">
        <v>512</v>
      </c>
      <c r="D230" s="4">
        <v>49.1</v>
      </c>
      <c r="E230" s="4">
        <v>0.5</v>
      </c>
      <c r="F230" s="2">
        <v>3.28</v>
      </c>
      <c r="G230" s="3">
        <v>5716</v>
      </c>
      <c r="H230" s="3">
        <v>471</v>
      </c>
      <c r="I230" s="3">
        <v>2697</v>
      </c>
      <c r="J230" s="3">
        <v>4872</v>
      </c>
      <c r="K230" s="3">
        <v>5975</v>
      </c>
      <c r="L230" s="3">
        <v>472</v>
      </c>
      <c r="M230" s="3">
        <v>2818</v>
      </c>
      <c r="N230" s="9">
        <f t="shared" si="48"/>
        <v>12.13588110403397</v>
      </c>
      <c r="O230" s="9">
        <f t="shared" si="49"/>
        <v>12.658898305084746</v>
      </c>
      <c r="P230" s="3">
        <f t="shared" si="56"/>
        <v>259</v>
      </c>
      <c r="Q230" s="3">
        <f t="shared" si="57"/>
        <v>1</v>
      </c>
      <c r="R230" s="3">
        <f t="shared" si="58"/>
        <v>121</v>
      </c>
      <c r="S230" s="9">
        <f t="shared" si="50"/>
        <v>0.52301720105077543</v>
      </c>
      <c r="T230" s="9">
        <f t="shared" si="51"/>
        <v>0.54989384288747345</v>
      </c>
      <c r="U230" s="9">
        <f t="shared" si="52"/>
        <v>10.427698574338086</v>
      </c>
      <c r="V230" s="4">
        <f t="shared" si="54"/>
        <v>0</v>
      </c>
      <c r="W230" s="2">
        <f t="shared" si="55"/>
        <v>0</v>
      </c>
    </row>
    <row r="231" spans="1:23">
      <c r="A231">
        <v>640</v>
      </c>
      <c r="B231" s="4">
        <f t="shared" si="53"/>
        <v>515.625</v>
      </c>
      <c r="C231" s="4">
        <v>513</v>
      </c>
      <c r="D231" s="4">
        <v>49.1</v>
      </c>
      <c r="E231" s="4">
        <v>0.5</v>
      </c>
      <c r="F231" s="2">
        <v>3.28</v>
      </c>
      <c r="G231" s="3">
        <v>5716</v>
      </c>
      <c r="H231" s="3">
        <v>472</v>
      </c>
      <c r="I231" s="3">
        <v>2700</v>
      </c>
      <c r="J231" s="3">
        <v>4872</v>
      </c>
      <c r="K231" s="3">
        <v>5975</v>
      </c>
      <c r="L231" s="3">
        <v>473</v>
      </c>
      <c r="M231" s="3">
        <v>2824</v>
      </c>
      <c r="N231" s="9">
        <f t="shared" si="48"/>
        <v>12.110169491525424</v>
      </c>
      <c r="O231" s="9">
        <f t="shared" si="49"/>
        <v>12.632135306553911</v>
      </c>
      <c r="P231" s="3">
        <f t="shared" si="56"/>
        <v>259</v>
      </c>
      <c r="Q231" s="3">
        <f t="shared" si="57"/>
        <v>1</v>
      </c>
      <c r="R231" s="3">
        <f t="shared" si="58"/>
        <v>124</v>
      </c>
      <c r="S231" s="9">
        <f t="shared" si="50"/>
        <v>0.52196581502848716</v>
      </c>
      <c r="T231" s="9">
        <f t="shared" si="51"/>
        <v>0.54872881355932202</v>
      </c>
      <c r="U231" s="9">
        <f t="shared" si="52"/>
        <v>10.44806517311609</v>
      </c>
      <c r="V231" s="4">
        <f t="shared" si="54"/>
        <v>0</v>
      </c>
      <c r="W231" s="2">
        <f t="shared" si="55"/>
        <v>0</v>
      </c>
    </row>
    <row r="232" spans="1:23">
      <c r="A232">
        <v>641</v>
      </c>
      <c r="B232" s="4">
        <f t="shared" si="53"/>
        <v>516.4306640625</v>
      </c>
      <c r="C232" s="4">
        <v>514</v>
      </c>
      <c r="D232" s="4">
        <v>49.1</v>
      </c>
      <c r="E232" s="4">
        <v>0.5</v>
      </c>
      <c r="F232" s="2">
        <v>3.28</v>
      </c>
      <c r="G232" s="3">
        <v>5716</v>
      </c>
      <c r="H232" s="3">
        <v>471</v>
      </c>
      <c r="I232" s="3">
        <v>2697</v>
      </c>
      <c r="J232" s="3">
        <v>4873</v>
      </c>
      <c r="K232" s="3">
        <v>5975</v>
      </c>
      <c r="L232" s="3">
        <v>473</v>
      </c>
      <c r="M232" s="3">
        <v>2818</v>
      </c>
      <c r="N232" s="9">
        <f t="shared" si="48"/>
        <v>12.13588110403397</v>
      </c>
      <c r="O232" s="9">
        <f t="shared" si="49"/>
        <v>12.632135306553911</v>
      </c>
      <c r="P232" s="3">
        <f t="shared" si="56"/>
        <v>259</v>
      </c>
      <c r="Q232" s="3">
        <f t="shared" si="57"/>
        <v>2</v>
      </c>
      <c r="R232" s="3">
        <f t="shared" si="58"/>
        <v>121</v>
      </c>
      <c r="S232" s="9">
        <f t="shared" si="50"/>
        <v>0.49625420251994079</v>
      </c>
      <c r="T232" s="9">
        <f t="shared" si="51"/>
        <v>0.54989384288747345</v>
      </c>
      <c r="U232" s="9">
        <f t="shared" si="52"/>
        <v>10.468431771894094</v>
      </c>
      <c r="V232" s="4">
        <f t="shared" si="54"/>
        <v>0</v>
      </c>
      <c r="W232" s="2">
        <f t="shared" si="55"/>
        <v>0</v>
      </c>
    </row>
    <row r="233" spans="1:23">
      <c r="A233">
        <v>642</v>
      </c>
      <c r="B233" s="4">
        <f t="shared" si="53"/>
        <v>517.236328125</v>
      </c>
      <c r="C233" s="4">
        <v>515</v>
      </c>
      <c r="D233" s="4">
        <v>49.1</v>
      </c>
      <c r="E233" s="4">
        <v>0.5</v>
      </c>
      <c r="F233" s="2">
        <v>3.28</v>
      </c>
      <c r="G233" s="3">
        <v>5716</v>
      </c>
      <c r="H233" s="3">
        <v>472</v>
      </c>
      <c r="I233" s="3">
        <v>2700</v>
      </c>
      <c r="J233" s="3">
        <v>4872</v>
      </c>
      <c r="K233" s="3">
        <v>5975</v>
      </c>
      <c r="L233" s="3">
        <v>473</v>
      </c>
      <c r="M233" s="3">
        <v>2824</v>
      </c>
      <c r="N233" s="9">
        <f t="shared" si="48"/>
        <v>12.110169491525424</v>
      </c>
      <c r="O233" s="9">
        <f t="shared" si="49"/>
        <v>12.632135306553911</v>
      </c>
      <c r="P233" s="3">
        <f t="shared" si="56"/>
        <v>259</v>
      </c>
      <c r="Q233" s="3">
        <f t="shared" si="57"/>
        <v>1</v>
      </c>
      <c r="R233" s="3">
        <f t="shared" si="58"/>
        <v>124</v>
      </c>
      <c r="S233" s="9">
        <f t="shared" si="50"/>
        <v>0.52196581502848716</v>
      </c>
      <c r="T233" s="9">
        <f t="shared" si="51"/>
        <v>0.54872881355932202</v>
      </c>
      <c r="U233" s="9">
        <f t="shared" si="52"/>
        <v>10.488798370672097</v>
      </c>
      <c r="V233" s="4">
        <f t="shared" si="54"/>
        <v>0</v>
      </c>
      <c r="W233" s="2">
        <f t="shared" si="55"/>
        <v>0</v>
      </c>
    </row>
    <row r="234" spans="1:23">
      <c r="A234">
        <v>643</v>
      </c>
      <c r="B234" s="4">
        <f t="shared" si="53"/>
        <v>518.0419921875</v>
      </c>
      <c r="C234" s="4">
        <v>515</v>
      </c>
      <c r="D234" s="4">
        <v>49.1</v>
      </c>
      <c r="E234" s="4">
        <v>0.5</v>
      </c>
      <c r="F234" s="2">
        <v>3.28</v>
      </c>
      <c r="G234" s="3">
        <v>5716</v>
      </c>
      <c r="H234" s="3">
        <v>471</v>
      </c>
      <c r="I234" s="3">
        <v>2697</v>
      </c>
      <c r="J234" s="3">
        <v>4874</v>
      </c>
      <c r="K234" s="3">
        <v>5975</v>
      </c>
      <c r="L234" s="3">
        <v>472</v>
      </c>
      <c r="M234" s="3">
        <v>2824</v>
      </c>
      <c r="N234" s="9">
        <f t="shared" si="48"/>
        <v>12.13588110403397</v>
      </c>
      <c r="O234" s="9">
        <f t="shared" si="49"/>
        <v>12.658898305084746</v>
      </c>
      <c r="P234" s="3">
        <f t="shared" si="56"/>
        <v>259</v>
      </c>
      <c r="Q234" s="3">
        <f t="shared" si="57"/>
        <v>1</v>
      </c>
      <c r="R234" s="3">
        <f t="shared" si="58"/>
        <v>127</v>
      </c>
      <c r="S234" s="9">
        <f t="shared" si="50"/>
        <v>0.52301720105077543</v>
      </c>
      <c r="T234" s="9">
        <f t="shared" si="51"/>
        <v>0.54989384288747345</v>
      </c>
      <c r="U234" s="9">
        <f t="shared" si="52"/>
        <v>10.488798370672097</v>
      </c>
      <c r="V234" s="4">
        <f t="shared" si="54"/>
        <v>0</v>
      </c>
      <c r="W234" s="2">
        <f t="shared" si="55"/>
        <v>0</v>
      </c>
    </row>
    <row r="235" spans="1:23">
      <c r="A235">
        <v>644</v>
      </c>
      <c r="B235" s="4">
        <f t="shared" si="53"/>
        <v>518.84765625</v>
      </c>
      <c r="C235" s="4">
        <v>516</v>
      </c>
      <c r="D235" s="4">
        <v>49.1</v>
      </c>
      <c r="E235" s="4">
        <v>0.5</v>
      </c>
      <c r="F235" s="2">
        <v>3.28</v>
      </c>
      <c r="G235" s="3">
        <v>5716</v>
      </c>
      <c r="H235" s="3">
        <v>471</v>
      </c>
      <c r="I235" s="3">
        <v>2697</v>
      </c>
      <c r="J235" s="3">
        <v>4872</v>
      </c>
      <c r="K235" s="3">
        <v>5975</v>
      </c>
      <c r="L235" s="3">
        <v>473</v>
      </c>
      <c r="M235" s="3">
        <v>2824</v>
      </c>
      <c r="N235" s="9">
        <f t="shared" si="48"/>
        <v>12.13588110403397</v>
      </c>
      <c r="O235" s="9">
        <f t="shared" si="49"/>
        <v>12.632135306553911</v>
      </c>
      <c r="P235" s="3">
        <f t="shared" si="56"/>
        <v>259</v>
      </c>
      <c r="Q235" s="3">
        <f t="shared" si="57"/>
        <v>2</v>
      </c>
      <c r="R235" s="3">
        <f t="shared" si="58"/>
        <v>127</v>
      </c>
      <c r="S235" s="9">
        <f t="shared" si="50"/>
        <v>0.49625420251994079</v>
      </c>
      <c r="T235" s="9">
        <f t="shared" si="51"/>
        <v>0.54989384288747345</v>
      </c>
      <c r="U235" s="9">
        <f t="shared" si="52"/>
        <v>10.509164969450101</v>
      </c>
      <c r="V235" s="4">
        <f t="shared" si="54"/>
        <v>0</v>
      </c>
      <c r="W235" s="2">
        <f t="shared" si="55"/>
        <v>0</v>
      </c>
    </row>
    <row r="236" spans="1:23">
      <c r="A236">
        <v>645</v>
      </c>
      <c r="B236" s="4">
        <f t="shared" si="53"/>
        <v>519.6533203125</v>
      </c>
      <c r="C236" s="4">
        <v>517</v>
      </c>
      <c r="D236" s="4">
        <v>49.1</v>
      </c>
      <c r="E236" s="4">
        <v>0.5</v>
      </c>
      <c r="F236" s="2">
        <v>3.28</v>
      </c>
      <c r="G236" s="3">
        <v>5716</v>
      </c>
      <c r="H236" s="3">
        <v>471</v>
      </c>
      <c r="I236" s="3">
        <v>2697</v>
      </c>
      <c r="J236" s="3">
        <v>4873</v>
      </c>
      <c r="K236" s="3">
        <v>5975</v>
      </c>
      <c r="L236" s="3">
        <v>473</v>
      </c>
      <c r="M236" s="3">
        <v>2824</v>
      </c>
      <c r="N236" s="9">
        <f t="shared" si="48"/>
        <v>12.13588110403397</v>
      </c>
      <c r="O236" s="9">
        <f t="shared" si="49"/>
        <v>12.632135306553911</v>
      </c>
      <c r="P236" s="3">
        <f t="shared" si="56"/>
        <v>259</v>
      </c>
      <c r="Q236" s="3">
        <f t="shared" si="57"/>
        <v>2</v>
      </c>
      <c r="R236" s="3">
        <f t="shared" si="58"/>
        <v>127</v>
      </c>
      <c r="S236" s="9">
        <f t="shared" si="50"/>
        <v>0.49625420251994079</v>
      </c>
      <c r="T236" s="9">
        <f t="shared" si="51"/>
        <v>0.54989384288747345</v>
      </c>
      <c r="U236" s="9">
        <f t="shared" si="52"/>
        <v>10.529531568228105</v>
      </c>
      <c r="V236" s="4">
        <f t="shared" si="54"/>
        <v>0</v>
      </c>
      <c r="W236" s="2">
        <f t="shared" si="55"/>
        <v>0</v>
      </c>
    </row>
    <row r="237" spans="1:23">
      <c r="A237">
        <v>646</v>
      </c>
      <c r="B237" s="4">
        <f t="shared" si="53"/>
        <v>520.458984375</v>
      </c>
      <c r="C237" s="4">
        <v>518</v>
      </c>
      <c r="D237" s="4">
        <v>49.1</v>
      </c>
      <c r="E237" s="4">
        <v>0.5</v>
      </c>
      <c r="F237" s="2">
        <v>3.28</v>
      </c>
      <c r="G237" s="3">
        <v>5716</v>
      </c>
      <c r="H237" s="3">
        <v>471</v>
      </c>
      <c r="I237" s="3">
        <v>2697</v>
      </c>
      <c r="J237" s="3">
        <v>4872</v>
      </c>
      <c r="K237" s="3">
        <v>5975</v>
      </c>
      <c r="L237" s="3">
        <v>473</v>
      </c>
      <c r="M237" s="3">
        <v>2824</v>
      </c>
      <c r="N237" s="9">
        <f t="shared" si="48"/>
        <v>12.13588110403397</v>
      </c>
      <c r="O237" s="9">
        <f t="shared" si="49"/>
        <v>12.632135306553911</v>
      </c>
      <c r="P237" s="3">
        <f t="shared" si="56"/>
        <v>259</v>
      </c>
      <c r="Q237" s="3">
        <f t="shared" si="57"/>
        <v>2</v>
      </c>
      <c r="R237" s="3">
        <f t="shared" si="58"/>
        <v>127</v>
      </c>
      <c r="S237" s="9">
        <f t="shared" si="50"/>
        <v>0.49625420251994079</v>
      </c>
      <c r="T237" s="9">
        <f t="shared" si="51"/>
        <v>0.54989384288747345</v>
      </c>
      <c r="U237" s="9">
        <f t="shared" si="52"/>
        <v>10.549898167006109</v>
      </c>
      <c r="V237" s="4">
        <f t="shared" si="54"/>
        <v>0</v>
      </c>
      <c r="W237" s="2">
        <f t="shared" si="55"/>
        <v>0</v>
      </c>
    </row>
    <row r="238" spans="1:23">
      <c r="A238">
        <v>647</v>
      </c>
      <c r="B238" s="4">
        <f t="shared" si="53"/>
        <v>521.2646484375</v>
      </c>
      <c r="C238" s="4">
        <v>519</v>
      </c>
      <c r="D238" s="4">
        <v>49.1</v>
      </c>
      <c r="E238" s="4">
        <v>0.5</v>
      </c>
      <c r="F238" s="2">
        <v>3.28</v>
      </c>
      <c r="G238" s="3">
        <v>5716</v>
      </c>
      <c r="H238" s="3">
        <v>472</v>
      </c>
      <c r="I238" s="3">
        <v>2700</v>
      </c>
      <c r="J238" s="3">
        <v>4872</v>
      </c>
      <c r="K238" s="3">
        <v>5975</v>
      </c>
      <c r="L238" s="3">
        <v>473</v>
      </c>
      <c r="M238" s="3">
        <v>2824</v>
      </c>
      <c r="N238" s="9">
        <f t="shared" si="48"/>
        <v>12.110169491525424</v>
      </c>
      <c r="O238" s="9">
        <f t="shared" si="49"/>
        <v>12.632135306553911</v>
      </c>
      <c r="P238" s="3">
        <f t="shared" si="56"/>
        <v>259</v>
      </c>
      <c r="Q238" s="3">
        <f t="shared" si="57"/>
        <v>1</v>
      </c>
      <c r="R238" s="3">
        <f t="shared" si="58"/>
        <v>124</v>
      </c>
      <c r="S238" s="9">
        <f t="shared" si="50"/>
        <v>0.52196581502848716</v>
      </c>
      <c r="T238" s="9">
        <f t="shared" si="51"/>
        <v>0.54872881355932202</v>
      </c>
      <c r="U238" s="9">
        <f t="shared" si="52"/>
        <v>10.570264765784113</v>
      </c>
      <c r="V238" s="4">
        <f t="shared" si="54"/>
        <v>0</v>
      </c>
      <c r="W238" s="2">
        <f t="shared" si="55"/>
        <v>0</v>
      </c>
    </row>
    <row r="239" spans="1:23">
      <c r="A239">
        <v>648</v>
      </c>
      <c r="B239" s="4">
        <f t="shared" si="53"/>
        <v>522.0703125</v>
      </c>
      <c r="C239" s="4">
        <v>519</v>
      </c>
      <c r="D239" s="4">
        <v>49.1</v>
      </c>
      <c r="E239" s="4">
        <v>0.5</v>
      </c>
      <c r="F239" s="2">
        <v>3.28</v>
      </c>
      <c r="G239" s="3">
        <v>5716</v>
      </c>
      <c r="H239" s="3">
        <v>472</v>
      </c>
      <c r="I239" s="3">
        <v>2700</v>
      </c>
      <c r="J239" s="3">
        <v>4872</v>
      </c>
      <c r="K239" s="3">
        <v>5975</v>
      </c>
      <c r="L239" s="3">
        <v>473</v>
      </c>
      <c r="M239" s="3">
        <v>2824</v>
      </c>
      <c r="N239" s="9">
        <f t="shared" si="48"/>
        <v>12.110169491525424</v>
      </c>
      <c r="O239" s="9">
        <f t="shared" si="49"/>
        <v>12.632135306553911</v>
      </c>
      <c r="P239" s="3">
        <f t="shared" si="56"/>
        <v>259</v>
      </c>
      <c r="Q239" s="3">
        <f t="shared" si="57"/>
        <v>1</v>
      </c>
      <c r="R239" s="3">
        <f t="shared" si="58"/>
        <v>124</v>
      </c>
      <c r="S239" s="9">
        <f t="shared" si="50"/>
        <v>0.52196581502848716</v>
      </c>
      <c r="T239" s="9">
        <f t="shared" si="51"/>
        <v>0.54872881355932202</v>
      </c>
      <c r="U239" s="9">
        <f t="shared" si="52"/>
        <v>10.570264765784113</v>
      </c>
      <c r="V239" s="4">
        <f t="shared" si="54"/>
        <v>0</v>
      </c>
      <c r="W239" s="2">
        <f t="shared" si="55"/>
        <v>0</v>
      </c>
    </row>
    <row r="240" spans="1:23">
      <c r="A240">
        <v>649</v>
      </c>
      <c r="B240" s="4">
        <f t="shared" si="53"/>
        <v>522.8759765625</v>
      </c>
      <c r="C240" s="4">
        <v>519</v>
      </c>
      <c r="D240" s="4">
        <v>49.1</v>
      </c>
      <c r="E240" s="4">
        <v>0.5</v>
      </c>
      <c r="F240" s="2">
        <v>3.28</v>
      </c>
      <c r="G240" s="3">
        <v>5716</v>
      </c>
      <c r="H240" s="3">
        <v>472</v>
      </c>
      <c r="I240" s="3">
        <v>2700</v>
      </c>
      <c r="J240" s="3">
        <v>4872</v>
      </c>
      <c r="K240" s="3">
        <v>5975</v>
      </c>
      <c r="L240" s="3">
        <v>473</v>
      </c>
      <c r="M240" s="3">
        <v>2824</v>
      </c>
      <c r="N240" s="9">
        <f t="shared" si="48"/>
        <v>12.110169491525424</v>
      </c>
      <c r="O240" s="9">
        <f t="shared" si="49"/>
        <v>12.632135306553911</v>
      </c>
      <c r="P240" s="3">
        <f t="shared" si="56"/>
        <v>259</v>
      </c>
      <c r="Q240" s="3">
        <f t="shared" si="57"/>
        <v>1</v>
      </c>
      <c r="R240" s="3">
        <f t="shared" si="58"/>
        <v>124</v>
      </c>
      <c r="S240" s="9">
        <f t="shared" si="50"/>
        <v>0.52196581502848716</v>
      </c>
      <c r="T240" s="9">
        <f t="shared" si="51"/>
        <v>0.54872881355932202</v>
      </c>
      <c r="U240" s="9">
        <f t="shared" si="52"/>
        <v>10.570264765784113</v>
      </c>
      <c r="V240" s="4">
        <f t="shared" si="54"/>
        <v>0</v>
      </c>
      <c r="W240" s="2">
        <f t="shared" si="55"/>
        <v>0</v>
      </c>
    </row>
    <row r="241" spans="1:23">
      <c r="A241">
        <v>650</v>
      </c>
      <c r="B241" s="4">
        <f t="shared" si="53"/>
        <v>523.681640625</v>
      </c>
      <c r="C241" s="4">
        <v>520</v>
      </c>
      <c r="D241" s="4">
        <v>49.1</v>
      </c>
      <c r="E241" s="4">
        <v>0.5</v>
      </c>
      <c r="F241" s="2">
        <v>3.28</v>
      </c>
      <c r="G241" s="3">
        <v>5716</v>
      </c>
      <c r="H241" s="3">
        <v>472</v>
      </c>
      <c r="I241" s="3">
        <v>2700</v>
      </c>
      <c r="J241" s="3">
        <v>4873</v>
      </c>
      <c r="K241" s="3">
        <v>5975</v>
      </c>
      <c r="L241" s="3">
        <v>473</v>
      </c>
      <c r="M241" s="3">
        <v>2824</v>
      </c>
      <c r="N241" s="9">
        <f t="shared" si="48"/>
        <v>12.110169491525424</v>
      </c>
      <c r="O241" s="9">
        <f t="shared" si="49"/>
        <v>12.632135306553911</v>
      </c>
      <c r="P241" s="3">
        <f t="shared" si="56"/>
        <v>259</v>
      </c>
      <c r="Q241" s="3">
        <f t="shared" si="57"/>
        <v>1</v>
      </c>
      <c r="R241" s="3">
        <f t="shared" si="58"/>
        <v>124</v>
      </c>
      <c r="S241" s="9">
        <f t="shared" si="50"/>
        <v>0.52196581502848716</v>
      </c>
      <c r="T241" s="9">
        <f t="shared" si="51"/>
        <v>0.54872881355932202</v>
      </c>
      <c r="U241" s="9">
        <f t="shared" si="52"/>
        <v>10.590631364562118</v>
      </c>
      <c r="V241" s="4">
        <f t="shared" si="54"/>
        <v>0</v>
      </c>
      <c r="W241" s="2">
        <f t="shared" si="55"/>
        <v>0</v>
      </c>
    </row>
    <row r="242" spans="1:23">
      <c r="C242" s="4"/>
      <c r="D242" s="4"/>
      <c r="E242" s="4"/>
      <c r="F242" s="2"/>
      <c r="G242" s="3"/>
      <c r="H242" s="3"/>
      <c r="I242" s="3"/>
      <c r="J242" s="3"/>
      <c r="K242" s="3"/>
      <c r="L242" s="3"/>
      <c r="M242" s="3"/>
      <c r="N242" s="9"/>
      <c r="O242" s="9"/>
    </row>
    <row r="243" spans="1:23">
      <c r="C243" s="4"/>
      <c r="D243" s="4"/>
      <c r="E243" s="4"/>
      <c r="F243" s="2"/>
      <c r="G243" s="3"/>
      <c r="H243" s="3"/>
      <c r="I243" s="3"/>
      <c r="J243" s="3"/>
      <c r="K243" s="3"/>
      <c r="L243" s="3"/>
      <c r="M243" s="3"/>
    </row>
    <row r="244" spans="1:23">
      <c r="C244" s="4"/>
      <c r="D244" s="4"/>
      <c r="E244" s="4"/>
      <c r="F244" s="2"/>
      <c r="G244" s="3"/>
      <c r="H244" s="3"/>
      <c r="I244" s="3"/>
      <c r="J244" s="3"/>
      <c r="K244" s="3"/>
      <c r="L244" s="3"/>
      <c r="M244" s="3"/>
    </row>
    <row r="245" spans="1:23">
      <c r="C245" s="4"/>
      <c r="D245" s="4"/>
      <c r="E245" s="4"/>
      <c r="F245" s="2"/>
      <c r="G245" s="3"/>
      <c r="H245" s="3"/>
      <c r="I245" s="3"/>
      <c r="J245" s="3"/>
      <c r="K245" s="3"/>
      <c r="L245" s="3"/>
      <c r="M245" s="3"/>
    </row>
  </sheetData>
  <sortState ref="A4:S245">
    <sortCondition ref="A4:A245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Normal="100" workbookViewId="0">
      <selection activeCell="K99" sqref="K99"/>
    </sheetView>
  </sheetViews>
  <sheetFormatPr defaultRowHeight="14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 data</vt:lpstr>
      <vt:lpstr>curves - data over n</vt:lpstr>
    </vt:vector>
  </TitlesOfParts>
  <Company>Teva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Hrvoje Ivanic</dc:creator>
  <cp:lastModifiedBy>hrvoje</cp:lastModifiedBy>
  <dcterms:created xsi:type="dcterms:W3CDTF">2025-08-30T17:10:13Z</dcterms:created>
  <dcterms:modified xsi:type="dcterms:W3CDTF">2025-08-31T18:37:04Z</dcterms:modified>
</cp:coreProperties>
</file>